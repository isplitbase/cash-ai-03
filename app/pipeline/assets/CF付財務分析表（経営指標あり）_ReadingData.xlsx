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水野\Downloads\"/>
    </mc:Choice>
  </mc:AlternateContent>
  <xr:revisionPtr revIDLastSave="0" documentId="13_ncr:1_{DA47DC45-D589-4716-BD21-48801CFC0203}" xr6:coauthVersionLast="47" xr6:coauthVersionMax="47" xr10:uidLastSave="{00000000-0000-0000-0000-000000000000}"/>
  <bookViews>
    <workbookView xWindow="2136" yWindow="348" windowWidth="25284" windowHeight="11736" tabRatio="822" xr2:uid="{00000000-000D-0000-FFFF-FFFF00000000}"/>
  </bookViews>
  <sheets>
    <sheet name="財務諸表（入力）" sheetId="29868" r:id="rId1"/>
    <sheet name="経営分析シート" sheetId="29873" r:id="rId2"/>
    <sheet name="資金運用表" sheetId="29869" r:id="rId3"/>
    <sheet name="資金移動表" sheetId="29870" r:id="rId4"/>
    <sheet name="変動PL＆BEP" sheetId="29878" r:id="rId5"/>
    <sheet name="【総合所見】" sheetId="29877" r:id="rId6"/>
    <sheet name="部門別売上sim" sheetId="29876" r:id="rId7"/>
    <sheet name="CF計算書" sheetId="29879" r:id="rId8"/>
    <sheet name="CF計算書②" sheetId="29881" r:id="rId9"/>
    <sheet name="CFワークシート" sheetId="29880" r:id="rId10"/>
    <sheet name="CFワークシート②" sheetId="29882" r:id="rId11"/>
    <sheet name="経営指標調査表" sheetId="29883" r:id="rId12"/>
  </sheets>
  <definedNames>
    <definedName name="_xlnm.Print_Area" localSheetId="5">【総合所見】!$A$1:$I$55</definedName>
    <definedName name="_xlnm.Print_Area" localSheetId="11">経営指標調査表!$A$1:$AG$52</definedName>
    <definedName name="_xlnm.Print_Area" localSheetId="1">経営分析シート!$A$1:$S$213</definedName>
    <definedName name="_xlnm.Print_Area" localSheetId="0">'財務諸表（入力）'!$A$1:$O$185</definedName>
    <definedName name="_xlnm.Print_Area" localSheetId="3">資金移動表!$A$1:$O$91</definedName>
    <definedName name="_xlnm.Print_Area" localSheetId="2">資金運用表!$A$1:$Q$256</definedName>
    <definedName name="_xlnm.Print_Area" localSheetId="6">部門別売上sim!$A$1:$U$76</definedName>
    <definedName name="_xlnm.Print_Area" localSheetId="4">'変動PL＆BEP'!$A$1:$P$73</definedName>
    <definedName name="く５４" localSheetId="5">#REF!</definedName>
    <definedName name="く５４" localSheetId="0">資金運用表!#REF!</definedName>
    <definedName name="く５４" localSheetId="6">資金運用表!#REF!</definedName>
    <definedName name="く５４" localSheetId="4">#REF!</definedName>
    <definedName name="く５４">#REF!</definedName>
    <definedName name="様式">#REF!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29879" l="1"/>
  <c r="C43" i="29879"/>
  <c r="C44" i="29879"/>
  <c r="E11" i="29868" l="1"/>
  <c r="F138" i="29868" l="1"/>
  <c r="E37" i="29868"/>
  <c r="E165" i="29868"/>
  <c r="E162" i="29868"/>
  <c r="E156" i="29868"/>
  <c r="E135" i="29868"/>
  <c r="E122" i="29868"/>
  <c r="E117" i="29868"/>
  <c r="E101" i="29868"/>
  <c r="E96" i="29868"/>
  <c r="E76" i="29868"/>
  <c r="E79" i="29868" s="1"/>
  <c r="E69" i="29868"/>
  <c r="E61" i="29868"/>
  <c r="E47" i="29868"/>
  <c r="E27" i="29868"/>
  <c r="E16" i="29868"/>
  <c r="E28" i="29868" l="1"/>
  <c r="E70" i="29868"/>
  <c r="E80" i="29868" s="1"/>
  <c r="E119" i="29868"/>
  <c r="E123" i="29868" s="1"/>
  <c r="E132" i="29868" s="1"/>
  <c r="E136" i="29868" s="1"/>
  <c r="E137" i="29868" s="1"/>
  <c r="E157" i="29868" s="1"/>
  <c r="E166" i="29868" s="1"/>
  <c r="E169" i="29868" s="1"/>
  <c r="E171" i="29868" s="1"/>
  <c r="E49" i="29868"/>
  <c r="E50" i="29868" l="1"/>
  <c r="T7" i="29883"/>
  <c r="O7" i="29883"/>
  <c r="J7" i="29883"/>
  <c r="S17" i="29883" l="1"/>
  <c r="N17" i="29883"/>
  <c r="I17" i="29883"/>
  <c r="S11" i="29883"/>
  <c r="N11" i="29883"/>
  <c r="I11" i="29883"/>
  <c r="S9" i="29883"/>
  <c r="N9" i="29883"/>
  <c r="I9" i="29883"/>
  <c r="AC27" i="29883"/>
  <c r="X27" i="29883"/>
  <c r="AC26" i="29883"/>
  <c r="X26" i="29883"/>
  <c r="AC25" i="29883"/>
  <c r="X25" i="29883"/>
  <c r="AC24" i="29883"/>
  <c r="X24" i="29883"/>
  <c r="AC23" i="29883"/>
  <c r="X23" i="29883"/>
  <c r="AC22" i="29883"/>
  <c r="X22" i="29883"/>
  <c r="AC21" i="29883"/>
  <c r="X21" i="29883"/>
  <c r="B5" i="29881" l="1"/>
  <c r="C27" i="29882" l="1"/>
  <c r="C27" i="29880" l="1"/>
  <c r="D8" i="29880" l="1"/>
  <c r="D8" i="29882" l="1"/>
  <c r="C44" i="29881" l="1"/>
  <c r="C20" i="29882"/>
  <c r="C23" i="29881"/>
  <c r="C8" i="29882"/>
  <c r="F55" i="29882"/>
  <c r="E55" i="29882"/>
  <c r="D49" i="29882"/>
  <c r="C49" i="29882"/>
  <c r="D43" i="29882"/>
  <c r="C43" i="29882"/>
  <c r="D41" i="29882"/>
  <c r="C41" i="29882"/>
  <c r="D40" i="29882"/>
  <c r="C40" i="29882"/>
  <c r="D32" i="29882"/>
  <c r="C32" i="29882"/>
  <c r="I25" i="29882"/>
  <c r="H25" i="29882"/>
  <c r="I24" i="29882"/>
  <c r="H24" i="29882"/>
  <c r="I23" i="29882"/>
  <c r="H23" i="29882"/>
  <c r="I22" i="29882"/>
  <c r="H22" i="29882"/>
  <c r="I17" i="29882"/>
  <c r="H17" i="29882"/>
  <c r="I16" i="29882"/>
  <c r="H16" i="29882"/>
  <c r="I11" i="29882"/>
  <c r="H11" i="29882"/>
  <c r="I10" i="29882"/>
  <c r="H10" i="29882"/>
  <c r="I9" i="29882"/>
  <c r="H9" i="29882"/>
  <c r="D27" i="29882"/>
  <c r="D25" i="29882"/>
  <c r="C25" i="29882"/>
  <c r="D21" i="29882"/>
  <c r="C21" i="29882"/>
  <c r="D20" i="29882"/>
  <c r="D18" i="29882"/>
  <c r="C18" i="29882"/>
  <c r="D16" i="29882"/>
  <c r="C16" i="29882"/>
  <c r="D11" i="29882"/>
  <c r="C11" i="29882"/>
  <c r="D10" i="29882"/>
  <c r="C10" i="29882"/>
  <c r="D9" i="29882"/>
  <c r="C49" i="29881" s="1"/>
  <c r="C9" i="29882"/>
  <c r="C47" i="29881" l="1"/>
  <c r="I65" i="29882"/>
  <c r="G65" i="29882"/>
  <c r="E64" i="29882"/>
  <c r="E65" i="29882" s="1"/>
  <c r="H63" i="29882"/>
  <c r="H60" i="29882"/>
  <c r="J60" i="29882" s="1"/>
  <c r="H59" i="29882"/>
  <c r="J59" i="29882" s="1"/>
  <c r="F58" i="29882"/>
  <c r="H58" i="29882" s="1"/>
  <c r="J58" i="29882" s="1"/>
  <c r="F57" i="29882"/>
  <c r="H57" i="29882" s="1"/>
  <c r="J57" i="29882" s="1"/>
  <c r="H56" i="29882"/>
  <c r="J56" i="29882" s="1"/>
  <c r="I55" i="29882"/>
  <c r="G55" i="29882"/>
  <c r="C55" i="29882"/>
  <c r="J51" i="29882"/>
  <c r="E49" i="29882"/>
  <c r="D47" i="29882"/>
  <c r="C47" i="29882"/>
  <c r="E46" i="29882"/>
  <c r="E43" i="29882"/>
  <c r="E41" i="29882"/>
  <c r="E30" i="29882"/>
  <c r="H27" i="29882"/>
  <c r="E27" i="29882"/>
  <c r="C35" i="29881" s="1"/>
  <c r="J26" i="29882"/>
  <c r="I64" i="29882" s="1"/>
  <c r="I63" i="29882" s="1"/>
  <c r="J25" i="29882"/>
  <c r="E25" i="29882"/>
  <c r="J23" i="29882"/>
  <c r="D64" i="29882" s="1"/>
  <c r="D55" i="29882"/>
  <c r="E23" i="29882"/>
  <c r="C33" i="29881" s="1"/>
  <c r="J22" i="29882"/>
  <c r="E22" i="29882"/>
  <c r="C32" i="29881" s="1"/>
  <c r="E21" i="29882"/>
  <c r="C31" i="29881" s="1"/>
  <c r="E20" i="29882"/>
  <c r="C30" i="29881" s="1"/>
  <c r="J18" i="29882"/>
  <c r="J16" i="29882"/>
  <c r="C40" i="29881" s="1"/>
  <c r="E14" i="29882"/>
  <c r="C27" i="29881" s="1"/>
  <c r="J13" i="29882"/>
  <c r="J12" i="29882"/>
  <c r="C20" i="29881" s="1"/>
  <c r="E12" i="29882"/>
  <c r="C26" i="29881" s="1"/>
  <c r="E11" i="29882"/>
  <c r="C15" i="29881" s="1"/>
  <c r="J10" i="29882"/>
  <c r="C19" i="29881" s="1"/>
  <c r="E10" i="29882"/>
  <c r="C14" i="29881" s="1"/>
  <c r="E9" i="29882"/>
  <c r="I8" i="29882"/>
  <c r="D31" i="29882"/>
  <c r="H8" i="29882"/>
  <c r="C64" i="29882" l="1"/>
  <c r="C65" i="29882" s="1"/>
  <c r="C42" i="29881"/>
  <c r="D65" i="29882"/>
  <c r="G64" i="29882"/>
  <c r="G62" i="29882" s="1"/>
  <c r="H62" i="29882" s="1"/>
  <c r="J62" i="29882" s="1"/>
  <c r="C43" i="29881"/>
  <c r="J63" i="29882"/>
  <c r="E16" i="29882"/>
  <c r="C12" i="29881" s="1"/>
  <c r="J17" i="29882"/>
  <c r="C41" i="29881" s="1"/>
  <c r="J9" i="29882"/>
  <c r="C18" i="29881" s="1"/>
  <c r="E40" i="29882"/>
  <c r="J11" i="29882"/>
  <c r="C39" i="29881" s="1"/>
  <c r="E18" i="29882"/>
  <c r="C28" i="29881" s="1"/>
  <c r="J24" i="29882"/>
  <c r="I27" i="29882"/>
  <c r="J27" i="29882" s="1"/>
  <c r="C31" i="29882"/>
  <c r="E32" i="29882"/>
  <c r="H55" i="29882"/>
  <c r="C6" i="29881"/>
  <c r="J55" i="29882" l="1"/>
  <c r="B5" i="29879"/>
  <c r="F55" i="29880" l="1"/>
  <c r="E55" i="29880"/>
  <c r="D49" i="29880" l="1"/>
  <c r="C49" i="29880"/>
  <c r="D43" i="29880"/>
  <c r="C43" i="29880"/>
  <c r="D41" i="29880"/>
  <c r="C41" i="29880"/>
  <c r="D40" i="29880"/>
  <c r="C40" i="29880"/>
  <c r="D32" i="29880"/>
  <c r="C32" i="29880"/>
  <c r="I25" i="29880"/>
  <c r="H25" i="29880"/>
  <c r="I24" i="29880"/>
  <c r="H24" i="29880"/>
  <c r="I23" i="29880"/>
  <c r="H23" i="29880"/>
  <c r="I22" i="29880"/>
  <c r="H22" i="29880"/>
  <c r="I17" i="29880"/>
  <c r="H17" i="29880"/>
  <c r="I16" i="29880"/>
  <c r="H16" i="29880"/>
  <c r="I11" i="29880" l="1"/>
  <c r="H11" i="29880"/>
  <c r="I10" i="29880"/>
  <c r="H10" i="29880"/>
  <c r="I9" i="29880"/>
  <c r="H9" i="29880"/>
  <c r="D27" i="29880"/>
  <c r="D25" i="29880"/>
  <c r="C25" i="29880"/>
  <c r="D21" i="29880"/>
  <c r="C21" i="29880"/>
  <c r="D20" i="29880"/>
  <c r="C20" i="29880"/>
  <c r="D18" i="29880"/>
  <c r="C18" i="29880"/>
  <c r="D16" i="29880"/>
  <c r="C16" i="29880"/>
  <c r="D11" i="29880" l="1"/>
  <c r="C11" i="29880"/>
  <c r="C6" i="29879" l="1"/>
  <c r="C23" i="29879"/>
  <c r="D10" i="29880"/>
  <c r="C10" i="29880"/>
  <c r="D9" i="29880"/>
  <c r="C9" i="29880"/>
  <c r="C8" i="29880"/>
  <c r="C31" i="29880" s="1"/>
  <c r="C47" i="29879" l="1"/>
  <c r="C49" i="29879"/>
  <c r="I65" i="29880"/>
  <c r="G65" i="29880"/>
  <c r="E64" i="29880"/>
  <c r="E65" i="29880" s="1"/>
  <c r="H63" i="29880"/>
  <c r="H60" i="29880"/>
  <c r="J60" i="29880" s="1"/>
  <c r="H59" i="29880"/>
  <c r="J59" i="29880" s="1"/>
  <c r="F58" i="29880"/>
  <c r="H58" i="29880" s="1"/>
  <c r="J58" i="29880" s="1"/>
  <c r="F57" i="29880"/>
  <c r="H57" i="29880" s="1"/>
  <c r="J57" i="29880" s="1"/>
  <c r="H56" i="29880"/>
  <c r="J56" i="29880" s="1"/>
  <c r="I55" i="29880"/>
  <c r="G55" i="29880"/>
  <c r="D55" i="29880"/>
  <c r="C55" i="29880"/>
  <c r="J51" i="29880"/>
  <c r="E49" i="29880"/>
  <c r="D47" i="29880"/>
  <c r="C47" i="29880"/>
  <c r="E46" i="29880"/>
  <c r="E43" i="29880"/>
  <c r="E41" i="29880"/>
  <c r="E40" i="29880"/>
  <c r="E32" i="29880"/>
  <c r="D31" i="29880"/>
  <c r="E30" i="29880"/>
  <c r="I27" i="29880"/>
  <c r="H27" i="29880"/>
  <c r="E27" i="29880"/>
  <c r="J26" i="29880"/>
  <c r="I64" i="29880" s="1"/>
  <c r="I63" i="29880" s="1"/>
  <c r="J25" i="29880"/>
  <c r="E25" i="29880"/>
  <c r="J24" i="29880"/>
  <c r="J23" i="29880"/>
  <c r="D64" i="29880" s="1"/>
  <c r="E23" i="29880"/>
  <c r="J22" i="29880"/>
  <c r="C42" i="29879" s="1"/>
  <c r="E22" i="29880"/>
  <c r="E21" i="29880"/>
  <c r="C31" i="29879" s="1"/>
  <c r="E20" i="29880"/>
  <c r="C30" i="29879" s="1"/>
  <c r="J18" i="29880"/>
  <c r="E18" i="29880"/>
  <c r="J17" i="29880"/>
  <c r="J16" i="29880"/>
  <c r="C40" i="29879" s="1"/>
  <c r="E16" i="29880"/>
  <c r="E14" i="29880"/>
  <c r="J13" i="29880"/>
  <c r="J12" i="29880"/>
  <c r="E12" i="29880"/>
  <c r="J11" i="29880"/>
  <c r="C39" i="29879" s="1"/>
  <c r="E11" i="29880"/>
  <c r="J10" i="29880"/>
  <c r="E10" i="29880"/>
  <c r="J9" i="29880"/>
  <c r="E9" i="29880"/>
  <c r="I8" i="29880"/>
  <c r="H8" i="29880"/>
  <c r="J63" i="29880" l="1"/>
  <c r="C18" i="29879"/>
  <c r="C33" i="29879"/>
  <c r="C14" i="29879"/>
  <c r="C26" i="29879"/>
  <c r="C27" i="29879"/>
  <c r="C35" i="29879"/>
  <c r="C19" i="29879"/>
  <c r="C20" i="29879"/>
  <c r="C28" i="29879"/>
  <c r="C32" i="29879"/>
  <c r="C15" i="29879"/>
  <c r="G64" i="29880"/>
  <c r="G62" i="29880" s="1"/>
  <c r="H62" i="29880" s="1"/>
  <c r="J62" i="29880" s="1"/>
  <c r="J27" i="29880"/>
  <c r="C64" i="29880"/>
  <c r="C65" i="29880" s="1"/>
  <c r="C12" i="29879"/>
  <c r="D65" i="29880"/>
  <c r="H55" i="29880"/>
  <c r="E13" i="29878"/>
  <c r="J122" i="29868"/>
  <c r="C45" i="29879" l="1"/>
  <c r="C45" i="29881"/>
  <c r="J55" i="29880"/>
  <c r="E14" i="29878"/>
  <c r="E5" i="29878"/>
  <c r="E28" i="29878"/>
  <c r="E26" i="29878"/>
  <c r="E25" i="29878"/>
  <c r="E22" i="29878"/>
  <c r="E21" i="29878"/>
  <c r="E20" i="29878"/>
  <c r="E19" i="29878"/>
  <c r="E18" i="29878"/>
  <c r="E17" i="29878"/>
  <c r="E12" i="29878"/>
  <c r="E11" i="29878"/>
  <c r="E10" i="29878" l="1"/>
  <c r="E55" i="29878" s="1"/>
  <c r="E9" i="29878"/>
  <c r="G9" i="29878" s="1"/>
  <c r="I9" i="29878" s="1"/>
  <c r="K9" i="29878" s="1"/>
  <c r="M9" i="29878" s="1"/>
  <c r="O9" i="29878" s="1"/>
  <c r="E6" i="29878"/>
  <c r="E51" i="29878" s="1"/>
  <c r="P29" i="29878"/>
  <c r="N29" i="29878"/>
  <c r="L29" i="29878"/>
  <c r="J29" i="29878"/>
  <c r="H29" i="29878"/>
  <c r="F29" i="29878"/>
  <c r="F28" i="29878"/>
  <c r="P26" i="29878"/>
  <c r="N26" i="29878"/>
  <c r="L26" i="29878"/>
  <c r="J26" i="29878"/>
  <c r="H26" i="29878"/>
  <c r="F26" i="29878"/>
  <c r="P25" i="29878"/>
  <c r="N25" i="29878"/>
  <c r="L25" i="29878"/>
  <c r="J25" i="29878"/>
  <c r="H25" i="29878"/>
  <c r="F25" i="29878"/>
  <c r="E72" i="29878"/>
  <c r="E68" i="29878"/>
  <c r="E71" i="29878"/>
  <c r="E67" i="29878"/>
  <c r="G14" i="29878"/>
  <c r="I14" i="29878" s="1"/>
  <c r="K14" i="29878" s="1"/>
  <c r="M14" i="29878" s="1"/>
  <c r="O14" i="29878" s="1"/>
  <c r="E57" i="29878"/>
  <c r="X7" i="29878"/>
  <c r="W7" i="29878"/>
  <c r="V7" i="29878"/>
  <c r="U7" i="29878"/>
  <c r="T7" i="29878"/>
  <c r="S7" i="29878"/>
  <c r="F14" i="29878" l="1"/>
  <c r="F58" i="29878" s="1"/>
  <c r="H58" i="29878" s="1"/>
  <c r="J58" i="29878" s="1"/>
  <c r="F6" i="29878"/>
  <c r="F9" i="29878"/>
  <c r="F65" i="29878" s="1"/>
  <c r="H65" i="29878" s="1"/>
  <c r="F10" i="29878"/>
  <c r="F55" i="29878" s="1"/>
  <c r="H55" i="29878" s="1"/>
  <c r="F11" i="29878"/>
  <c r="F56" i="29878" s="1"/>
  <c r="H56" i="29878" s="1"/>
  <c r="F12" i="29878"/>
  <c r="F57" i="29878" s="1"/>
  <c r="H57" i="29878" s="1"/>
  <c r="F17" i="29878"/>
  <c r="F67" i="29878" s="1"/>
  <c r="F18" i="29878"/>
  <c r="G19" i="29878"/>
  <c r="G20" i="29878"/>
  <c r="G21" i="29878"/>
  <c r="E56" i="29878"/>
  <c r="E58" i="29878"/>
  <c r="E65" i="29878"/>
  <c r="G6" i="29878"/>
  <c r="S8" i="29878"/>
  <c r="G17" i="29878"/>
  <c r="F19" i="29878"/>
  <c r="F71" i="29878" s="1"/>
  <c r="F20" i="29878"/>
  <c r="F68" i="29878" s="1"/>
  <c r="F21" i="29878"/>
  <c r="F72" i="29878" s="1"/>
  <c r="F22" i="29878"/>
  <c r="G61" i="29873"/>
  <c r="F61" i="29873"/>
  <c r="H14" i="29878" l="1"/>
  <c r="H20" i="29878"/>
  <c r="I20" i="29878"/>
  <c r="J56" i="29878"/>
  <c r="H11" i="29878"/>
  <c r="G11" i="29878" s="1"/>
  <c r="J65" i="29878"/>
  <c r="H9" i="29878"/>
  <c r="L58" i="29878"/>
  <c r="J14" i="29878"/>
  <c r="I17" i="29878"/>
  <c r="H17" i="29878"/>
  <c r="H18" i="29878"/>
  <c r="I6" i="29878"/>
  <c r="G61" i="29878"/>
  <c r="H22" i="29878"/>
  <c r="T8" i="29878"/>
  <c r="H6" i="29878"/>
  <c r="H21" i="29878"/>
  <c r="I21" i="29878"/>
  <c r="H19" i="29878"/>
  <c r="I19" i="29878"/>
  <c r="J57" i="29878"/>
  <c r="H12" i="29878"/>
  <c r="G12" i="29878" s="1"/>
  <c r="J55" i="29878"/>
  <c r="H10" i="29878"/>
  <c r="G10" i="29878" s="1"/>
  <c r="H173" i="29868"/>
  <c r="L22" i="29870"/>
  <c r="D22" i="29870"/>
  <c r="K116" i="29869"/>
  <c r="M116" i="29869" s="1"/>
  <c r="I8" i="29869" s="1"/>
  <c r="J119" i="29869"/>
  <c r="J120" i="29869"/>
  <c r="L120" i="29869" s="1"/>
  <c r="F9" i="29869" s="1"/>
  <c r="J121" i="29869"/>
  <c r="J247" i="29869"/>
  <c r="L247" i="29869" s="1"/>
  <c r="F136" i="29869" s="1"/>
  <c r="L106" i="29868"/>
  <c r="J117" i="29868"/>
  <c r="I133" i="29868"/>
  <c r="G101" i="29868"/>
  <c r="O58" i="29876"/>
  <c r="M58" i="29876"/>
  <c r="K58" i="29876"/>
  <c r="I58" i="29876"/>
  <c r="G58" i="29876"/>
  <c r="F58" i="29876"/>
  <c r="E18" i="29876"/>
  <c r="O67" i="29876" s="1"/>
  <c r="E15" i="29876"/>
  <c r="M15" i="29876" s="1"/>
  <c r="E12" i="29876"/>
  <c r="I12" i="29876" s="1"/>
  <c r="E11" i="29876"/>
  <c r="E60" i="29876" s="1"/>
  <c r="F60" i="29876" s="1"/>
  <c r="J184" i="29868"/>
  <c r="G184" i="29868"/>
  <c r="E184" i="29868"/>
  <c r="J182" i="29868"/>
  <c r="G182" i="29868"/>
  <c r="N16" i="29883" s="1"/>
  <c r="E182" i="29868"/>
  <c r="I16" i="29883" s="1"/>
  <c r="J179" i="29868"/>
  <c r="S10" i="29883" s="1"/>
  <c r="G179" i="29868"/>
  <c r="E179" i="29868"/>
  <c r="I10" i="29883" s="1"/>
  <c r="I178" i="29868"/>
  <c r="I177" i="29868"/>
  <c r="I174" i="29868"/>
  <c r="H174" i="29868"/>
  <c r="F174" i="29868"/>
  <c r="I173" i="29868"/>
  <c r="F173" i="29868"/>
  <c r="I170" i="29868"/>
  <c r="H170" i="29868"/>
  <c r="F170" i="29868"/>
  <c r="I168" i="29868"/>
  <c r="H168" i="29868"/>
  <c r="F168" i="29868"/>
  <c r="I167" i="29868"/>
  <c r="H167" i="29868"/>
  <c r="F167" i="29868"/>
  <c r="J165" i="29868"/>
  <c r="G165" i="29868"/>
  <c r="AE58" i="29873" s="1"/>
  <c r="C38" i="29882"/>
  <c r="I164" i="29868"/>
  <c r="H164" i="29868"/>
  <c r="F164" i="29868"/>
  <c r="I163" i="29868"/>
  <c r="H163" i="29868"/>
  <c r="F163" i="29868"/>
  <c r="J162" i="29868"/>
  <c r="O24" i="29870" s="1"/>
  <c r="O26" i="29870" s="1"/>
  <c r="G162" i="29868"/>
  <c r="AD59" i="29873"/>
  <c r="I161" i="29868"/>
  <c r="H161" i="29868"/>
  <c r="F161" i="29868"/>
  <c r="I160" i="29868"/>
  <c r="H160" i="29868"/>
  <c r="F160" i="29868"/>
  <c r="I159" i="29868"/>
  <c r="H159" i="29868"/>
  <c r="F159" i="29868"/>
  <c r="I158" i="29868"/>
  <c r="H158" i="29868"/>
  <c r="F158" i="29868"/>
  <c r="H155" i="29868"/>
  <c r="F155" i="29868"/>
  <c r="I154" i="29868"/>
  <c r="H154" i="29868"/>
  <c r="F154" i="29868"/>
  <c r="I153" i="29868"/>
  <c r="H153" i="29868"/>
  <c r="F153" i="29868"/>
  <c r="I152" i="29868"/>
  <c r="H152" i="29868"/>
  <c r="F152" i="29868"/>
  <c r="I151" i="29868"/>
  <c r="H151" i="29868"/>
  <c r="F151" i="29868"/>
  <c r="I150" i="29868"/>
  <c r="H150" i="29868"/>
  <c r="F150" i="29868"/>
  <c r="I149" i="29868"/>
  <c r="H149" i="29868"/>
  <c r="F149" i="29868"/>
  <c r="I148" i="29868"/>
  <c r="H148" i="29868"/>
  <c r="F148" i="29868"/>
  <c r="I147" i="29868"/>
  <c r="H147" i="29868"/>
  <c r="F147" i="29868"/>
  <c r="I146" i="29868"/>
  <c r="H146" i="29868"/>
  <c r="F146" i="29868"/>
  <c r="I145" i="29868"/>
  <c r="H145" i="29868"/>
  <c r="F145" i="29868"/>
  <c r="I144" i="29868"/>
  <c r="H144" i="29868"/>
  <c r="F144" i="29868"/>
  <c r="I143" i="29868"/>
  <c r="H143" i="29868"/>
  <c r="F143" i="29868"/>
  <c r="I142" i="29868"/>
  <c r="H142" i="29868"/>
  <c r="F142" i="29868"/>
  <c r="H141" i="29868"/>
  <c r="I141" i="29868"/>
  <c r="I140" i="29868"/>
  <c r="H140" i="29868"/>
  <c r="F140" i="29868"/>
  <c r="J156" i="29868"/>
  <c r="D35" i="29880" s="1"/>
  <c r="H139" i="29868"/>
  <c r="F139" i="29868"/>
  <c r="I138" i="29868"/>
  <c r="H138" i="29868"/>
  <c r="J135" i="29868"/>
  <c r="G135" i="29868"/>
  <c r="H135" i="29868" s="1"/>
  <c r="AD13" i="29873"/>
  <c r="I134" i="29868"/>
  <c r="H134" i="29868"/>
  <c r="F134" i="29868"/>
  <c r="H133" i="29868"/>
  <c r="F133" i="29868"/>
  <c r="I131" i="29868"/>
  <c r="H131" i="29868"/>
  <c r="F131" i="29868"/>
  <c r="I130" i="29868"/>
  <c r="H130" i="29868"/>
  <c r="F130" i="29868"/>
  <c r="I129" i="29868"/>
  <c r="H129" i="29868"/>
  <c r="F129" i="29868"/>
  <c r="J128" i="29868"/>
  <c r="N128" i="29868" s="1"/>
  <c r="G128" i="29868"/>
  <c r="M128" i="29868" s="1"/>
  <c r="E128" i="29868"/>
  <c r="J127" i="29868"/>
  <c r="G127" i="29868"/>
  <c r="E127" i="29868"/>
  <c r="AF11" i="29873"/>
  <c r="G122" i="29868"/>
  <c r="H122" i="29868" s="1"/>
  <c r="I121" i="29868"/>
  <c r="H121" i="29868"/>
  <c r="F121" i="29868"/>
  <c r="I120" i="29868"/>
  <c r="H120" i="29868"/>
  <c r="F120" i="29868"/>
  <c r="I118" i="29868"/>
  <c r="H118" i="29868"/>
  <c r="F118" i="29868"/>
  <c r="G117" i="29868"/>
  <c r="H117" i="29868" s="1"/>
  <c r="F117" i="29868"/>
  <c r="I116" i="29868"/>
  <c r="H116" i="29868"/>
  <c r="F116" i="29868"/>
  <c r="I115" i="29868"/>
  <c r="H115" i="29868"/>
  <c r="F115" i="29868"/>
  <c r="I114" i="29868"/>
  <c r="H114" i="29868"/>
  <c r="F114" i="29868"/>
  <c r="I113" i="29868"/>
  <c r="H113" i="29868"/>
  <c r="F113" i="29868"/>
  <c r="I112" i="29868"/>
  <c r="H112" i="29868"/>
  <c r="F112" i="29868"/>
  <c r="I111" i="29868"/>
  <c r="H111" i="29868"/>
  <c r="F111" i="29868"/>
  <c r="I110" i="29868"/>
  <c r="H110" i="29868"/>
  <c r="F110" i="29868"/>
  <c r="I109" i="29868"/>
  <c r="H109" i="29868"/>
  <c r="F109" i="29868"/>
  <c r="I108" i="29868"/>
  <c r="H108" i="29868"/>
  <c r="F108" i="29868"/>
  <c r="I107" i="29868"/>
  <c r="H107" i="29868"/>
  <c r="F107" i="29868"/>
  <c r="I106" i="29868"/>
  <c r="H106" i="29868"/>
  <c r="F106" i="29868"/>
  <c r="I105" i="29868"/>
  <c r="H105" i="29868"/>
  <c r="F105" i="29868"/>
  <c r="I104" i="29868"/>
  <c r="H104" i="29868"/>
  <c r="F104" i="29868"/>
  <c r="I103" i="29868"/>
  <c r="H103" i="29868"/>
  <c r="F103" i="29868"/>
  <c r="I102" i="29868"/>
  <c r="H102" i="29868"/>
  <c r="F102" i="29868"/>
  <c r="J101" i="29868"/>
  <c r="J185" i="29868" s="1"/>
  <c r="E185" i="29868"/>
  <c r="I100" i="29868"/>
  <c r="H100" i="29868"/>
  <c r="F100" i="29868"/>
  <c r="I99" i="29868"/>
  <c r="H99" i="29868"/>
  <c r="F99" i="29868"/>
  <c r="I98" i="29868"/>
  <c r="H98" i="29868"/>
  <c r="F98" i="29868"/>
  <c r="I97" i="29868"/>
  <c r="H97" i="29868"/>
  <c r="F97" i="29868"/>
  <c r="J96" i="29868"/>
  <c r="I126" i="29873" s="1"/>
  <c r="G96" i="29868"/>
  <c r="AE7" i="29873" s="1"/>
  <c r="I95" i="29868"/>
  <c r="H95" i="29868"/>
  <c r="F95" i="29868"/>
  <c r="I94" i="29868"/>
  <c r="H94" i="29868"/>
  <c r="F94" i="29868"/>
  <c r="I93" i="29868"/>
  <c r="H93" i="29868"/>
  <c r="F93" i="29868"/>
  <c r="J92" i="29868"/>
  <c r="N92" i="29868" s="1"/>
  <c r="G92" i="29868"/>
  <c r="M92" i="29868" s="1"/>
  <c r="E92" i="29868"/>
  <c r="J91" i="29868"/>
  <c r="G91" i="29868"/>
  <c r="E91" i="29868"/>
  <c r="D89" i="29868"/>
  <c r="I84" i="29868"/>
  <c r="H84" i="29868"/>
  <c r="F84" i="29868"/>
  <c r="I83" i="29868"/>
  <c r="H83" i="29868"/>
  <c r="I78" i="29868"/>
  <c r="I77" i="29868"/>
  <c r="H77" i="29868"/>
  <c r="F77" i="29868"/>
  <c r="J76" i="29868"/>
  <c r="J79" i="29868" s="1"/>
  <c r="S18" i="29883" s="1"/>
  <c r="G76" i="29868"/>
  <c r="I75" i="29868"/>
  <c r="I74" i="29868"/>
  <c r="I73" i="29868"/>
  <c r="I72" i="29868"/>
  <c r="I71" i="29868"/>
  <c r="J69" i="29868"/>
  <c r="I19" i="29880" s="1"/>
  <c r="G69" i="29868"/>
  <c r="H19" i="29882"/>
  <c r="H20" i="29882" s="1"/>
  <c r="I68" i="29868"/>
  <c r="H68" i="29868"/>
  <c r="F68" i="29868"/>
  <c r="I67" i="29868"/>
  <c r="H67" i="29868"/>
  <c r="F67" i="29868"/>
  <c r="I66" i="29868"/>
  <c r="I65" i="29868"/>
  <c r="I64" i="29868"/>
  <c r="H64" i="29868"/>
  <c r="F64" i="29868"/>
  <c r="I63" i="29868"/>
  <c r="I62" i="29868"/>
  <c r="J61" i="29868"/>
  <c r="G61" i="29868"/>
  <c r="I60" i="29868"/>
  <c r="I59" i="29868"/>
  <c r="I58" i="29868"/>
  <c r="I57" i="29868"/>
  <c r="I56" i="29868"/>
  <c r="I55" i="29868"/>
  <c r="I54" i="29868"/>
  <c r="I53" i="29868"/>
  <c r="I52" i="29868"/>
  <c r="I51" i="29868"/>
  <c r="I48" i="29868"/>
  <c r="J47" i="29868"/>
  <c r="D24" i="29880" s="1"/>
  <c r="G47" i="29868"/>
  <c r="C24" i="29882"/>
  <c r="I45" i="29868"/>
  <c r="H45" i="29868"/>
  <c r="F45" i="29868"/>
  <c r="I44" i="29868"/>
  <c r="I43" i="29868"/>
  <c r="I42" i="29868"/>
  <c r="I41" i="29868"/>
  <c r="I40" i="29868"/>
  <c r="I39" i="29868"/>
  <c r="I38" i="29868"/>
  <c r="J37" i="29868"/>
  <c r="D19" i="29880" s="1"/>
  <c r="G37" i="29868"/>
  <c r="C19" i="29882"/>
  <c r="I36" i="29868"/>
  <c r="I35" i="29868"/>
  <c r="I34" i="29868"/>
  <c r="I33" i="29868"/>
  <c r="I32" i="29868"/>
  <c r="I31" i="29868"/>
  <c r="I30" i="29868"/>
  <c r="I29" i="29868"/>
  <c r="J27" i="29868"/>
  <c r="G27" i="29868"/>
  <c r="I26" i="29868"/>
  <c r="F26" i="29868"/>
  <c r="I25" i="29868"/>
  <c r="I24" i="29868"/>
  <c r="F24" i="29868"/>
  <c r="I23" i="29868"/>
  <c r="I22" i="29868"/>
  <c r="I21" i="29868"/>
  <c r="I20" i="29868"/>
  <c r="I19" i="29868"/>
  <c r="I18" i="29868"/>
  <c r="I17" i="29868"/>
  <c r="J16" i="29868"/>
  <c r="D13" i="29880" s="1"/>
  <c r="G16" i="29868"/>
  <c r="I15" i="29868"/>
  <c r="I14" i="29868"/>
  <c r="I13" i="29868"/>
  <c r="I12" i="29868"/>
  <c r="J11" i="29868"/>
  <c r="G11" i="29868"/>
  <c r="I10" i="29868"/>
  <c r="I8" i="29868"/>
  <c r="I9" i="29868"/>
  <c r="I7" i="29868"/>
  <c r="H7" i="29868"/>
  <c r="F7" i="29868"/>
  <c r="I6" i="29868"/>
  <c r="P197" i="29873"/>
  <c r="P199" i="29873" s="1"/>
  <c r="I197" i="29873"/>
  <c r="I199" i="29873" s="1"/>
  <c r="M197" i="29873"/>
  <c r="M199" i="29873" s="1"/>
  <c r="E197" i="29873"/>
  <c r="E199" i="29873" s="1"/>
  <c r="O55" i="29876"/>
  <c r="M55" i="29876"/>
  <c r="K55" i="29876"/>
  <c r="I55" i="29876"/>
  <c r="G55" i="29876"/>
  <c r="E57" i="29876"/>
  <c r="E56" i="29876"/>
  <c r="A1" i="29876"/>
  <c r="E16" i="29876"/>
  <c r="O34" i="29876"/>
  <c r="P34" i="29876" s="1"/>
  <c r="M34" i="29876"/>
  <c r="N34" i="29876" s="1"/>
  <c r="K34" i="29876"/>
  <c r="L34" i="29876" s="1"/>
  <c r="I34" i="29876"/>
  <c r="J34" i="29876" s="1"/>
  <c r="G34" i="29876"/>
  <c r="F34" i="29876"/>
  <c r="E33" i="29876"/>
  <c r="E32" i="29876"/>
  <c r="O31" i="29876"/>
  <c r="M31" i="29876"/>
  <c r="K31" i="29876"/>
  <c r="I31" i="29876"/>
  <c r="G31" i="29876"/>
  <c r="E17" i="29876"/>
  <c r="O42" i="29876" s="1"/>
  <c r="E9" i="29876"/>
  <c r="I9" i="29876" s="1"/>
  <c r="R8" i="29876"/>
  <c r="R7" i="29876"/>
  <c r="E6" i="29876"/>
  <c r="M133" i="29868"/>
  <c r="N133" i="29868"/>
  <c r="L133" i="29868"/>
  <c r="L134" i="29868"/>
  <c r="K134" i="29868"/>
  <c r="K133" i="29868"/>
  <c r="K131" i="29868"/>
  <c r="K72" i="29870"/>
  <c r="K66" i="29870"/>
  <c r="A1" i="29870"/>
  <c r="A5" i="29870"/>
  <c r="I5" i="29870"/>
  <c r="O35" i="29870"/>
  <c r="L47" i="29870"/>
  <c r="L48" i="29870" s="1"/>
  <c r="L38" i="29870"/>
  <c r="L36" i="29870"/>
  <c r="L35" i="29870"/>
  <c r="M40" i="29870"/>
  <c r="M39" i="29870"/>
  <c r="M38" i="29870"/>
  <c r="M37" i="29870"/>
  <c r="O8" i="29870"/>
  <c r="M13" i="29870"/>
  <c r="M12" i="29870"/>
  <c r="M11" i="29870"/>
  <c r="M10" i="29870"/>
  <c r="M9" i="29870"/>
  <c r="L25" i="29870"/>
  <c r="L24" i="29870"/>
  <c r="J25" i="29870"/>
  <c r="J19" i="29870"/>
  <c r="J18" i="29870"/>
  <c r="J13" i="29870"/>
  <c r="J14" i="29870"/>
  <c r="J15" i="29870"/>
  <c r="J16" i="29870"/>
  <c r="J17" i="29870"/>
  <c r="J12" i="29870"/>
  <c r="J11" i="29870"/>
  <c r="J10" i="29870"/>
  <c r="C66" i="29870"/>
  <c r="E40" i="29870"/>
  <c r="E39" i="29870"/>
  <c r="D36" i="29870"/>
  <c r="D35" i="29870"/>
  <c r="J248" i="29869"/>
  <c r="L248" i="29869" s="1"/>
  <c r="F137" i="29869" s="1"/>
  <c r="G8" i="29870"/>
  <c r="E13" i="29870"/>
  <c r="E10" i="29870"/>
  <c r="E11" i="29870"/>
  <c r="E12" i="29870"/>
  <c r="E9" i="29870"/>
  <c r="B18" i="29870"/>
  <c r="B17" i="29870"/>
  <c r="B16" i="29870"/>
  <c r="B15" i="29870"/>
  <c r="B14" i="29870"/>
  <c r="B13" i="29870"/>
  <c r="B12" i="29870"/>
  <c r="B11" i="29870"/>
  <c r="B10" i="29870"/>
  <c r="P209" i="29873"/>
  <c r="M209" i="29873"/>
  <c r="A129" i="29869"/>
  <c r="U129" i="29869"/>
  <c r="S129" i="29869"/>
  <c r="F172" i="29869"/>
  <c r="E172" i="29869"/>
  <c r="E108" i="29869"/>
  <c r="E61" i="29873"/>
  <c r="J61" i="29873" s="1"/>
  <c r="G92" i="29873"/>
  <c r="G76" i="29873"/>
  <c r="E92" i="29873" s="1"/>
  <c r="E76" i="29873"/>
  <c r="I209" i="29873"/>
  <c r="E209" i="29873"/>
  <c r="K121" i="29868"/>
  <c r="K120" i="29868"/>
  <c r="K118" i="29868"/>
  <c r="K116" i="29868"/>
  <c r="K115" i="29868"/>
  <c r="K114" i="29868"/>
  <c r="K113" i="29868"/>
  <c r="K112" i="29868"/>
  <c r="K111" i="29868"/>
  <c r="K110" i="29868"/>
  <c r="K109" i="29868"/>
  <c r="K108" i="29868"/>
  <c r="K107" i="29868"/>
  <c r="K106" i="29868"/>
  <c r="K105" i="29868"/>
  <c r="K103" i="29868"/>
  <c r="K102" i="29868"/>
  <c r="K100" i="29868"/>
  <c r="K99" i="29868"/>
  <c r="K98" i="29868"/>
  <c r="K97" i="29868"/>
  <c r="K95" i="29868"/>
  <c r="K94" i="29868"/>
  <c r="K93" i="29868"/>
  <c r="N30" i="29868"/>
  <c r="E193" i="29869"/>
  <c r="M104" i="29873"/>
  <c r="M7" i="29868"/>
  <c r="N7" i="29868"/>
  <c r="L7" i="29868"/>
  <c r="I104" i="29873"/>
  <c r="G104" i="29873"/>
  <c r="G68" i="29873" s="1"/>
  <c r="F104" i="29873"/>
  <c r="E68" i="29873" s="1"/>
  <c r="G95" i="29873"/>
  <c r="G94" i="29873"/>
  <c r="G91" i="29873"/>
  <c r="G90" i="29873"/>
  <c r="G89" i="29873"/>
  <c r="G88" i="29873"/>
  <c r="G87" i="29873"/>
  <c r="G84" i="29873"/>
  <c r="G79" i="29873"/>
  <c r="E95" i="29873" s="1"/>
  <c r="E79" i="29873"/>
  <c r="G78" i="29873"/>
  <c r="E94" i="29873" s="1"/>
  <c r="E78" i="29873"/>
  <c r="G75" i="29873"/>
  <c r="E75" i="29873"/>
  <c r="G74" i="29873"/>
  <c r="E90" i="29873" s="1"/>
  <c r="E74" i="29873"/>
  <c r="G73" i="29873"/>
  <c r="E89" i="29873" s="1"/>
  <c r="E73" i="29873"/>
  <c r="G72" i="29873"/>
  <c r="E72" i="29873"/>
  <c r="G71" i="29873"/>
  <c r="E87" i="29873" s="1"/>
  <c r="E71" i="29873"/>
  <c r="AF57" i="29873"/>
  <c r="AE57" i="29873"/>
  <c r="AD57" i="29873"/>
  <c r="AF56" i="29873"/>
  <c r="AE56" i="29873"/>
  <c r="AD56" i="29873"/>
  <c r="AF55" i="29873"/>
  <c r="AE55" i="29873"/>
  <c r="AD55" i="29873"/>
  <c r="AF54" i="29873"/>
  <c r="AE54" i="29873"/>
  <c r="AD54" i="29873"/>
  <c r="G53" i="29873"/>
  <c r="K53" i="29873" s="1"/>
  <c r="F53" i="29873"/>
  <c r="J53" i="29873" s="1"/>
  <c r="E53" i="29873"/>
  <c r="G42" i="29873"/>
  <c r="F42" i="29873"/>
  <c r="E42" i="29873"/>
  <c r="G39" i="29873"/>
  <c r="F39" i="29873"/>
  <c r="E39" i="29873"/>
  <c r="G37" i="29873"/>
  <c r="F37" i="29873"/>
  <c r="E37" i="29873"/>
  <c r="G36" i="29873"/>
  <c r="F36" i="29873"/>
  <c r="E36" i="29873"/>
  <c r="G35" i="29873"/>
  <c r="F35" i="29873"/>
  <c r="E35" i="29873"/>
  <c r="G34" i="29873"/>
  <c r="F34" i="29873"/>
  <c r="E34" i="29873"/>
  <c r="G25" i="29873"/>
  <c r="F25" i="29873"/>
  <c r="E25" i="29873"/>
  <c r="AF14" i="29873"/>
  <c r="AE14" i="29873"/>
  <c r="AD14" i="29873"/>
  <c r="AF12" i="29873"/>
  <c r="AE12" i="29873"/>
  <c r="AD12" i="29873"/>
  <c r="AF10" i="29873"/>
  <c r="AE10" i="29873"/>
  <c r="AD10" i="29873"/>
  <c r="AF9" i="29873"/>
  <c r="AE9" i="29873"/>
  <c r="AD9" i="29873"/>
  <c r="AF8" i="29873"/>
  <c r="AE8" i="29873"/>
  <c r="AD8" i="29873"/>
  <c r="AF6" i="29873"/>
  <c r="AE6" i="29873"/>
  <c r="AD6" i="29873"/>
  <c r="G6" i="29873"/>
  <c r="I134" i="29873" s="1"/>
  <c r="M134" i="29873" s="1"/>
  <c r="F6" i="29873"/>
  <c r="G128" i="29873" s="1"/>
  <c r="E6" i="29873"/>
  <c r="F133" i="29873" s="1"/>
  <c r="G5" i="29873"/>
  <c r="G176" i="29873" s="1"/>
  <c r="F5" i="29873"/>
  <c r="J5" i="29873" s="1"/>
  <c r="E5" i="29873"/>
  <c r="E176" i="29873" s="1"/>
  <c r="A1" i="29873"/>
  <c r="L174" i="29868"/>
  <c r="K174" i="29868"/>
  <c r="L173" i="29868"/>
  <c r="K173" i="29868"/>
  <c r="N84" i="29868"/>
  <c r="M84" i="29868"/>
  <c r="N83" i="29868"/>
  <c r="M83" i="29868"/>
  <c r="L84" i="29868"/>
  <c r="L83" i="29868"/>
  <c r="L102" i="29868"/>
  <c r="M102" i="29868"/>
  <c r="N102" i="29868"/>
  <c r="L103" i="29868"/>
  <c r="M103" i="29868"/>
  <c r="N103" i="29868"/>
  <c r="L104" i="29868"/>
  <c r="M104" i="29868"/>
  <c r="N104" i="29868"/>
  <c r="L105" i="29868"/>
  <c r="M105" i="29868"/>
  <c r="N105" i="29868"/>
  <c r="M106" i="29868"/>
  <c r="L100" i="29868"/>
  <c r="M100" i="29868"/>
  <c r="N100" i="29868"/>
  <c r="L98" i="29868"/>
  <c r="M98" i="29868"/>
  <c r="N98" i="29868"/>
  <c r="L99" i="29868"/>
  <c r="M99" i="29868"/>
  <c r="N99" i="29868"/>
  <c r="K129" i="29868"/>
  <c r="D44" i="29869"/>
  <c r="D172" i="29869" s="1"/>
  <c r="D45" i="29869"/>
  <c r="L121" i="29868"/>
  <c r="M121" i="29868"/>
  <c r="N121" i="29868"/>
  <c r="J249" i="29869"/>
  <c r="K244" i="29869"/>
  <c r="M244" i="29869" s="1"/>
  <c r="I136" i="29869" s="1"/>
  <c r="D237" i="29869"/>
  <c r="E237" i="29869"/>
  <c r="F237" i="29869"/>
  <c r="D109" i="29869"/>
  <c r="E109" i="29869"/>
  <c r="F109" i="29869"/>
  <c r="L74" i="29868"/>
  <c r="M74" i="29868"/>
  <c r="N74" i="29868"/>
  <c r="N75" i="29868"/>
  <c r="M75" i="29868"/>
  <c r="P255" i="29869"/>
  <c r="N255" i="29869"/>
  <c r="L255" i="29869"/>
  <c r="E241" i="29869"/>
  <c r="F241" i="29869"/>
  <c r="C241" i="29869"/>
  <c r="F113" i="29869"/>
  <c r="E113" i="29869"/>
  <c r="C113" i="29869"/>
  <c r="N78" i="29868"/>
  <c r="L78" i="29868"/>
  <c r="M78" i="29868"/>
  <c r="E110" i="29869"/>
  <c r="M173" i="29868"/>
  <c r="N174" i="29868"/>
  <c r="M174" i="29868"/>
  <c r="N173" i="29868"/>
  <c r="F44" i="29869"/>
  <c r="E44" i="29869"/>
  <c r="C240" i="29869"/>
  <c r="E240" i="29869"/>
  <c r="F240" i="29869"/>
  <c r="F112" i="29869"/>
  <c r="E112" i="29869"/>
  <c r="C112" i="29869"/>
  <c r="D227" i="29869"/>
  <c r="E227" i="29869"/>
  <c r="F227" i="29869"/>
  <c r="D228" i="29869"/>
  <c r="E228" i="29869"/>
  <c r="F228" i="29869"/>
  <c r="D229" i="29869"/>
  <c r="E229" i="29869"/>
  <c r="F229" i="29869"/>
  <c r="D230" i="29869"/>
  <c r="E230" i="29869"/>
  <c r="F230" i="29869"/>
  <c r="D231" i="29869"/>
  <c r="E231" i="29869"/>
  <c r="F231" i="29869"/>
  <c r="D103" i="29869"/>
  <c r="E103" i="29869"/>
  <c r="F103" i="29869"/>
  <c r="D99" i="29869"/>
  <c r="E99" i="29869"/>
  <c r="F99" i="29869"/>
  <c r="D100" i="29869"/>
  <c r="E100" i="29869"/>
  <c r="F100" i="29869"/>
  <c r="D101" i="29869"/>
  <c r="E101" i="29869"/>
  <c r="F101" i="29869"/>
  <c r="D102" i="29869"/>
  <c r="E102" i="29869"/>
  <c r="F102" i="29869"/>
  <c r="D216" i="29869"/>
  <c r="E216" i="29869"/>
  <c r="F216" i="29869"/>
  <c r="D217" i="29869"/>
  <c r="E217" i="29869"/>
  <c r="F217" i="29869"/>
  <c r="D218" i="29869"/>
  <c r="E218" i="29869"/>
  <c r="F218" i="29869"/>
  <c r="D219" i="29869"/>
  <c r="E219" i="29869"/>
  <c r="F219" i="29869"/>
  <c r="D220" i="29869"/>
  <c r="E220" i="29869"/>
  <c r="F220" i="29869"/>
  <c r="D221" i="29869"/>
  <c r="E221" i="29869"/>
  <c r="F221" i="29869"/>
  <c r="D222" i="29869"/>
  <c r="E222" i="29869"/>
  <c r="F222" i="29869"/>
  <c r="D223" i="29869"/>
  <c r="E223" i="29869"/>
  <c r="F223" i="29869"/>
  <c r="D89" i="29869"/>
  <c r="E89" i="29869"/>
  <c r="F89" i="29869"/>
  <c r="D90" i="29869"/>
  <c r="E90" i="29869"/>
  <c r="F90" i="29869"/>
  <c r="D91" i="29869"/>
  <c r="E91" i="29869"/>
  <c r="F91" i="29869"/>
  <c r="D92" i="29869"/>
  <c r="E92" i="29869"/>
  <c r="F92" i="29869"/>
  <c r="D93" i="29869"/>
  <c r="E93" i="29869"/>
  <c r="F93" i="29869"/>
  <c r="D94" i="29869"/>
  <c r="E94" i="29869"/>
  <c r="F94" i="29869"/>
  <c r="D95" i="29869"/>
  <c r="E95" i="29869"/>
  <c r="F95" i="29869"/>
  <c r="D88" i="29869"/>
  <c r="E88" i="29869"/>
  <c r="F88" i="29869"/>
  <c r="D203" i="29869"/>
  <c r="E203" i="29869"/>
  <c r="F203" i="29869"/>
  <c r="D204" i="29869"/>
  <c r="E204" i="29869"/>
  <c r="F204" i="29869"/>
  <c r="D205" i="29869"/>
  <c r="E205" i="29869"/>
  <c r="F205" i="29869"/>
  <c r="D206" i="29869"/>
  <c r="E206" i="29869"/>
  <c r="F206" i="29869"/>
  <c r="D207" i="29869"/>
  <c r="E207" i="29869"/>
  <c r="F207" i="29869"/>
  <c r="D208" i="29869"/>
  <c r="E208" i="29869"/>
  <c r="F208" i="29869"/>
  <c r="D75" i="29869"/>
  <c r="E75" i="29869"/>
  <c r="F75" i="29869"/>
  <c r="D76" i="29869"/>
  <c r="E76" i="29869"/>
  <c r="F76" i="29869"/>
  <c r="D77" i="29869"/>
  <c r="E77" i="29869"/>
  <c r="F77" i="29869"/>
  <c r="D78" i="29869"/>
  <c r="E78" i="29869"/>
  <c r="F78" i="29869"/>
  <c r="D79" i="29869"/>
  <c r="E79" i="29869"/>
  <c r="F79" i="29869"/>
  <c r="D80" i="29869"/>
  <c r="E80" i="29869"/>
  <c r="F80" i="29869"/>
  <c r="D188" i="29869"/>
  <c r="E188" i="29869"/>
  <c r="F188" i="29869"/>
  <c r="D189" i="29869"/>
  <c r="E189" i="29869"/>
  <c r="F189" i="29869"/>
  <c r="D60" i="29869"/>
  <c r="E60" i="29869"/>
  <c r="F60" i="29869"/>
  <c r="D61" i="29869"/>
  <c r="E61" i="29869"/>
  <c r="F61" i="29869"/>
  <c r="M35" i="29868"/>
  <c r="M41" i="29868"/>
  <c r="N41" i="29868"/>
  <c r="L41" i="29868"/>
  <c r="K67" i="29868"/>
  <c r="L67" i="29868"/>
  <c r="M67" i="29868"/>
  <c r="G39" i="29870" s="1"/>
  <c r="N67" i="29868"/>
  <c r="O39" i="29870" s="1"/>
  <c r="M45" i="29868"/>
  <c r="N45" i="29868"/>
  <c r="M43" i="29868"/>
  <c r="N43" i="29868"/>
  <c r="L45" i="29868"/>
  <c r="L43" i="29868"/>
  <c r="M21" i="29868"/>
  <c r="D14" i="29870" s="1"/>
  <c r="N21" i="29868"/>
  <c r="L14" i="29870" s="1"/>
  <c r="M26" i="29868"/>
  <c r="D18" i="29870" s="1"/>
  <c r="N26" i="29868"/>
  <c r="L18" i="29870" s="1"/>
  <c r="L21" i="29868"/>
  <c r="L26" i="29868"/>
  <c r="L170" i="29868"/>
  <c r="L168" i="29868"/>
  <c r="L167" i="29868"/>
  <c r="L164" i="29868"/>
  <c r="L163" i="29868"/>
  <c r="L161" i="29868"/>
  <c r="L160" i="29868"/>
  <c r="L159" i="29868"/>
  <c r="L158" i="29868"/>
  <c r="L155" i="29868"/>
  <c r="L154" i="29868"/>
  <c r="L143" i="29868"/>
  <c r="L153" i="29868"/>
  <c r="L152" i="29868"/>
  <c r="L151" i="29868"/>
  <c r="L150" i="29868"/>
  <c r="L149" i="29868"/>
  <c r="L148" i="29868"/>
  <c r="L147" i="29868"/>
  <c r="L146" i="29868"/>
  <c r="L145" i="29868"/>
  <c r="L144" i="29868"/>
  <c r="L142" i="29868"/>
  <c r="L141" i="29868"/>
  <c r="L140" i="29868"/>
  <c r="L139" i="29868"/>
  <c r="L138" i="29868"/>
  <c r="L131" i="29868"/>
  <c r="L129" i="29868"/>
  <c r="K170" i="29868"/>
  <c r="K168" i="29868"/>
  <c r="K167" i="29868"/>
  <c r="K164" i="29868"/>
  <c r="K163" i="29868"/>
  <c r="K161" i="29868"/>
  <c r="K160" i="29868"/>
  <c r="K159" i="29868"/>
  <c r="K158" i="29868"/>
  <c r="K155" i="29868"/>
  <c r="K154" i="29868"/>
  <c r="K143" i="29868"/>
  <c r="K153" i="29868"/>
  <c r="K152" i="29868"/>
  <c r="K151" i="29868"/>
  <c r="K150" i="29868"/>
  <c r="K149" i="29868"/>
  <c r="K148" i="29868"/>
  <c r="K147" i="29868"/>
  <c r="K146" i="29868"/>
  <c r="K145" i="29868"/>
  <c r="K144" i="29868"/>
  <c r="K142" i="29868"/>
  <c r="K141" i="29868"/>
  <c r="K140" i="29868"/>
  <c r="K139" i="29868"/>
  <c r="K138" i="29868"/>
  <c r="L120" i="29868"/>
  <c r="L118" i="29868"/>
  <c r="L116" i="29868"/>
  <c r="L115" i="29868"/>
  <c r="L114" i="29868"/>
  <c r="L113" i="29868"/>
  <c r="L112" i="29868"/>
  <c r="L111" i="29868"/>
  <c r="L110" i="29868"/>
  <c r="L109" i="29868"/>
  <c r="L108" i="29868"/>
  <c r="L107" i="29868"/>
  <c r="L97" i="29868"/>
  <c r="L95" i="29868"/>
  <c r="L94" i="29868"/>
  <c r="L93" i="29868"/>
  <c r="D47" i="29870"/>
  <c r="D48" i="29870" s="1"/>
  <c r="D38" i="29870"/>
  <c r="E38" i="29870"/>
  <c r="E37" i="29870"/>
  <c r="G35" i="29870"/>
  <c r="D25" i="29870"/>
  <c r="B25" i="29870"/>
  <c r="D24" i="29870"/>
  <c r="B19" i="29870"/>
  <c r="E250" i="29869"/>
  <c r="E249" i="29869"/>
  <c r="E248" i="29869"/>
  <c r="F238" i="29869"/>
  <c r="E238" i="29869"/>
  <c r="D238" i="29869"/>
  <c r="F236" i="29869"/>
  <c r="E236" i="29869"/>
  <c r="D236" i="29869"/>
  <c r="F235" i="29869"/>
  <c r="E235" i="29869"/>
  <c r="D235" i="29869"/>
  <c r="F234" i="29869"/>
  <c r="E234" i="29869"/>
  <c r="D234" i="29869"/>
  <c r="A233" i="29869"/>
  <c r="B232" i="29869"/>
  <c r="F226" i="29869"/>
  <c r="E226" i="29869"/>
  <c r="D226" i="29869"/>
  <c r="F225" i="29869"/>
  <c r="E225" i="29869"/>
  <c r="D225" i="29869"/>
  <c r="B224" i="29869"/>
  <c r="F215" i="29869"/>
  <c r="E215" i="29869"/>
  <c r="D215" i="29869"/>
  <c r="F214" i="29869"/>
  <c r="E214" i="29869"/>
  <c r="D214" i="29869"/>
  <c r="A213" i="29869"/>
  <c r="B212" i="29869"/>
  <c r="F211" i="29869"/>
  <c r="E211" i="29869"/>
  <c r="C211" i="29869"/>
  <c r="F209" i="29869"/>
  <c r="E209" i="29869"/>
  <c r="D209" i="29869"/>
  <c r="F202" i="29869"/>
  <c r="E202" i="29869"/>
  <c r="D202" i="29869"/>
  <c r="F201" i="29869"/>
  <c r="E201" i="29869"/>
  <c r="C201" i="29869"/>
  <c r="F199" i="29869"/>
  <c r="E199" i="29869"/>
  <c r="D199" i="29869"/>
  <c r="F198" i="29869"/>
  <c r="E198" i="29869"/>
  <c r="D198" i="29869"/>
  <c r="F197" i="29869"/>
  <c r="E197" i="29869"/>
  <c r="D197" i="29869"/>
  <c r="F196" i="29869"/>
  <c r="E196" i="29869"/>
  <c r="D196" i="29869"/>
  <c r="F195" i="29869"/>
  <c r="E195" i="29869"/>
  <c r="D195" i="29869"/>
  <c r="F194" i="29869"/>
  <c r="E194" i="29869"/>
  <c r="D194" i="29869"/>
  <c r="D193" i="29869"/>
  <c r="F192" i="29869"/>
  <c r="E192" i="29869"/>
  <c r="D192" i="29869"/>
  <c r="F187" i="29869"/>
  <c r="E187" i="29869"/>
  <c r="D187" i="29869"/>
  <c r="F186" i="29869"/>
  <c r="E186" i="29869"/>
  <c r="D186" i="29869"/>
  <c r="F185" i="29869"/>
  <c r="E185" i="29869"/>
  <c r="D185" i="29869"/>
  <c r="F184" i="29869"/>
  <c r="E184" i="29869"/>
  <c r="D184" i="29869"/>
  <c r="F183" i="29869"/>
  <c r="E183" i="29869"/>
  <c r="D183" i="29869"/>
  <c r="F182" i="29869"/>
  <c r="E182" i="29869"/>
  <c r="D182" i="29869"/>
  <c r="F181" i="29869"/>
  <c r="E181" i="29869"/>
  <c r="D181" i="29869"/>
  <c r="F180" i="29869"/>
  <c r="E180" i="29869"/>
  <c r="D180" i="29869"/>
  <c r="F178" i="29869"/>
  <c r="E178" i="29869"/>
  <c r="D178" i="29869"/>
  <c r="F177" i="29869"/>
  <c r="E177" i="29869"/>
  <c r="D177" i="29869"/>
  <c r="F176" i="29869"/>
  <c r="E176" i="29869"/>
  <c r="D176" i="29869"/>
  <c r="F175" i="29869"/>
  <c r="E175" i="29869"/>
  <c r="D175" i="29869"/>
  <c r="F173" i="29869"/>
  <c r="E173" i="29869"/>
  <c r="D173" i="29869"/>
  <c r="F171" i="29869"/>
  <c r="E171" i="29869"/>
  <c r="D171" i="29869"/>
  <c r="F170" i="29869"/>
  <c r="E170" i="29869"/>
  <c r="D170" i="29869"/>
  <c r="F169" i="29869"/>
  <c r="A131" i="29869" s="1"/>
  <c r="E169" i="29869"/>
  <c r="F168" i="29869"/>
  <c r="E168" i="29869"/>
  <c r="S5" i="29869"/>
  <c r="U1" i="29869"/>
  <c r="S1" i="29869"/>
  <c r="P127" i="29869"/>
  <c r="N127" i="29869"/>
  <c r="L127" i="29869"/>
  <c r="E122" i="29869"/>
  <c r="E121" i="29869"/>
  <c r="E120" i="29869"/>
  <c r="F110" i="29869"/>
  <c r="D110" i="29869"/>
  <c r="F108" i="29869"/>
  <c r="D108" i="29869"/>
  <c r="F107" i="29869"/>
  <c r="E107" i="29869"/>
  <c r="D107" i="29869"/>
  <c r="F106" i="29869"/>
  <c r="E106" i="29869"/>
  <c r="D106" i="29869"/>
  <c r="A105" i="29869"/>
  <c r="B104" i="29869"/>
  <c r="F98" i="29869"/>
  <c r="E98" i="29869"/>
  <c r="D98" i="29869"/>
  <c r="F97" i="29869"/>
  <c r="E97" i="29869"/>
  <c r="D97" i="29869"/>
  <c r="B96" i="29869"/>
  <c r="F87" i="29869"/>
  <c r="E87" i="29869"/>
  <c r="D87" i="29869"/>
  <c r="F86" i="29869"/>
  <c r="E86" i="29869"/>
  <c r="D86" i="29869"/>
  <c r="A85" i="29869"/>
  <c r="B84" i="29869"/>
  <c r="F83" i="29869"/>
  <c r="E83" i="29869"/>
  <c r="C83" i="29869"/>
  <c r="F81" i="29869"/>
  <c r="E81" i="29869"/>
  <c r="D81" i="29869"/>
  <c r="F74" i="29869"/>
  <c r="E74" i="29869"/>
  <c r="D74" i="29869"/>
  <c r="F73" i="29869"/>
  <c r="E73" i="29869"/>
  <c r="F71" i="29869"/>
  <c r="E71" i="29869"/>
  <c r="D71" i="29869"/>
  <c r="F70" i="29869"/>
  <c r="E70" i="29869"/>
  <c r="D70" i="29869"/>
  <c r="F69" i="29869"/>
  <c r="E69" i="29869"/>
  <c r="D69" i="29869"/>
  <c r="F68" i="29869"/>
  <c r="E68" i="29869"/>
  <c r="D68" i="29869"/>
  <c r="F67" i="29869"/>
  <c r="E67" i="29869"/>
  <c r="D67" i="29869"/>
  <c r="F66" i="29869"/>
  <c r="E66" i="29869"/>
  <c r="D66" i="29869"/>
  <c r="E65" i="29869"/>
  <c r="D65" i="29869"/>
  <c r="F64" i="29869"/>
  <c r="E64" i="29869"/>
  <c r="D64" i="29869"/>
  <c r="F59" i="29869"/>
  <c r="E59" i="29869"/>
  <c r="D59" i="29869"/>
  <c r="F58" i="29869"/>
  <c r="E58" i="29869"/>
  <c r="D58" i="29869"/>
  <c r="F57" i="29869"/>
  <c r="E57" i="29869"/>
  <c r="D57" i="29869"/>
  <c r="F56" i="29869"/>
  <c r="E56" i="29869"/>
  <c r="D56" i="29869"/>
  <c r="F55" i="29869"/>
  <c r="E55" i="29869"/>
  <c r="D55" i="29869"/>
  <c r="F54" i="29869"/>
  <c r="E54" i="29869"/>
  <c r="D54" i="29869"/>
  <c r="F53" i="29869"/>
  <c r="E53" i="29869"/>
  <c r="D53" i="29869"/>
  <c r="F52" i="29869"/>
  <c r="E52" i="29869"/>
  <c r="D52" i="29869"/>
  <c r="F50" i="29869"/>
  <c r="E50" i="29869"/>
  <c r="D50" i="29869"/>
  <c r="F49" i="29869"/>
  <c r="E49" i="29869"/>
  <c r="D49" i="29869"/>
  <c r="F48" i="29869"/>
  <c r="E48" i="29869"/>
  <c r="D48" i="29869"/>
  <c r="F47" i="29869"/>
  <c r="E47" i="29869"/>
  <c r="D47" i="29869"/>
  <c r="F45" i="29869"/>
  <c r="E45" i="29869"/>
  <c r="F43" i="29869"/>
  <c r="E43" i="29869"/>
  <c r="D43" i="29869"/>
  <c r="F42" i="29869"/>
  <c r="C72" i="29870" s="1"/>
  <c r="E42" i="29869"/>
  <c r="D42" i="29869"/>
  <c r="F41" i="29869"/>
  <c r="A3" i="29869" s="1"/>
  <c r="E41" i="29869"/>
  <c r="A40" i="29869"/>
  <c r="F40" i="29869"/>
  <c r="E40" i="29869"/>
  <c r="A1" i="29869"/>
  <c r="L177" i="29868"/>
  <c r="L178" i="29868"/>
  <c r="K78" i="29868"/>
  <c r="K68" i="29868"/>
  <c r="K66" i="29868"/>
  <c r="K64" i="29868"/>
  <c r="L75" i="29868"/>
  <c r="L77" i="29868"/>
  <c r="L73" i="29868"/>
  <c r="L72" i="29868"/>
  <c r="L71" i="29868"/>
  <c r="L68" i="29868"/>
  <c r="L63" i="29868"/>
  <c r="L66" i="29868"/>
  <c r="L65" i="29868"/>
  <c r="L64" i="29868"/>
  <c r="L62" i="29868"/>
  <c r="L60" i="29868"/>
  <c r="L56" i="29868"/>
  <c r="L59" i="29868"/>
  <c r="L58" i="29868"/>
  <c r="L57" i="29868"/>
  <c r="L55" i="29868"/>
  <c r="L54" i="29868"/>
  <c r="L53" i="29868"/>
  <c r="L52" i="29868"/>
  <c r="L51" i="29868"/>
  <c r="L48" i="29868"/>
  <c r="L46" i="29868"/>
  <c r="L44" i="29868"/>
  <c r="L42" i="29868"/>
  <c r="L40" i="29868"/>
  <c r="L39" i="29868"/>
  <c r="L38" i="29868"/>
  <c r="L36" i="29868"/>
  <c r="L35" i="29868"/>
  <c r="L34" i="29868"/>
  <c r="L33" i="29868"/>
  <c r="L32" i="29868"/>
  <c r="L31" i="29868"/>
  <c r="L29" i="29868"/>
  <c r="L20" i="29868"/>
  <c r="L24" i="29868"/>
  <c r="L25" i="29868"/>
  <c r="L19" i="29868"/>
  <c r="L23" i="29868"/>
  <c r="L18" i="29868"/>
  <c r="L22" i="29868"/>
  <c r="L17" i="29868"/>
  <c r="L15" i="29868"/>
  <c r="L14" i="29868"/>
  <c r="L13" i="29868"/>
  <c r="L12" i="29868"/>
  <c r="L10" i="29868"/>
  <c r="L8" i="29868"/>
  <c r="L9" i="29868"/>
  <c r="L6" i="29868"/>
  <c r="N170" i="29868"/>
  <c r="M170" i="29868"/>
  <c r="N168" i="29868"/>
  <c r="M168" i="29868"/>
  <c r="N167" i="29868"/>
  <c r="M167" i="29868"/>
  <c r="N164" i="29868"/>
  <c r="M164" i="29868"/>
  <c r="N163" i="29868"/>
  <c r="M163" i="29868"/>
  <c r="N161" i="29868"/>
  <c r="M161" i="29868"/>
  <c r="N160" i="29868"/>
  <c r="M160" i="29868"/>
  <c r="N159" i="29868"/>
  <c r="M159" i="29868"/>
  <c r="N158" i="29868"/>
  <c r="M158" i="29868"/>
  <c r="N155" i="29868"/>
  <c r="M155" i="29868"/>
  <c r="N154" i="29868"/>
  <c r="M154" i="29868"/>
  <c r="N143" i="29868"/>
  <c r="M143" i="29868"/>
  <c r="N153" i="29868"/>
  <c r="M153" i="29868"/>
  <c r="N152" i="29868"/>
  <c r="M152" i="29868"/>
  <c r="N151" i="29868"/>
  <c r="M151" i="29868"/>
  <c r="N150" i="29868"/>
  <c r="M150" i="29868"/>
  <c r="N149" i="29868"/>
  <c r="M149" i="29868"/>
  <c r="N148" i="29868"/>
  <c r="M148" i="29868"/>
  <c r="N147" i="29868"/>
  <c r="M147" i="29868"/>
  <c r="N146" i="29868"/>
  <c r="M146" i="29868"/>
  <c r="N145" i="29868"/>
  <c r="M145" i="29868"/>
  <c r="N144" i="29868"/>
  <c r="M144" i="29868"/>
  <c r="N142" i="29868"/>
  <c r="M142" i="29868"/>
  <c r="N141" i="29868"/>
  <c r="M141" i="29868"/>
  <c r="N140" i="29868"/>
  <c r="M140" i="29868"/>
  <c r="N139" i="29868"/>
  <c r="M139" i="29868"/>
  <c r="N138" i="29868"/>
  <c r="M138" i="29868"/>
  <c r="N134" i="29868"/>
  <c r="M134" i="29868"/>
  <c r="N131" i="29868"/>
  <c r="M131" i="29868"/>
  <c r="M130" i="29868"/>
  <c r="N129" i="29868"/>
  <c r="M129" i="29868"/>
  <c r="N120" i="29868"/>
  <c r="M120" i="29868"/>
  <c r="N118" i="29868"/>
  <c r="M118" i="29868"/>
  <c r="N116" i="29868"/>
  <c r="M116" i="29868"/>
  <c r="N115" i="29868"/>
  <c r="M115" i="29868"/>
  <c r="N114" i="29868"/>
  <c r="M114" i="29868"/>
  <c r="N113" i="29868"/>
  <c r="M113" i="29868"/>
  <c r="N112" i="29868"/>
  <c r="M112" i="29868"/>
  <c r="N111" i="29868"/>
  <c r="M111" i="29868"/>
  <c r="N110" i="29868"/>
  <c r="M110" i="29868"/>
  <c r="N109" i="29868"/>
  <c r="M109" i="29868"/>
  <c r="N108" i="29868"/>
  <c r="M108" i="29868"/>
  <c r="N107" i="29868"/>
  <c r="M107" i="29868"/>
  <c r="N97" i="29868"/>
  <c r="M97" i="29868"/>
  <c r="N95" i="29868"/>
  <c r="M95" i="29868"/>
  <c r="N94" i="29868"/>
  <c r="M94" i="29868"/>
  <c r="N93" i="29868"/>
  <c r="M93" i="29868"/>
  <c r="A89" i="29868"/>
  <c r="N178" i="29868"/>
  <c r="M178" i="29868"/>
  <c r="N177" i="29868"/>
  <c r="M177" i="29868"/>
  <c r="N77" i="29868"/>
  <c r="M77" i="29868"/>
  <c r="N73" i="29868"/>
  <c r="M73" i="29868"/>
  <c r="N72" i="29868"/>
  <c r="M72" i="29868"/>
  <c r="N71" i="29868"/>
  <c r="M71" i="29868"/>
  <c r="N68" i="29868"/>
  <c r="O40" i="29870" s="1"/>
  <c r="M68" i="29868"/>
  <c r="G40" i="29870" s="1"/>
  <c r="N63" i="29868"/>
  <c r="M63" i="29868"/>
  <c r="N66" i="29868"/>
  <c r="O38" i="29870" s="1"/>
  <c r="M66" i="29868"/>
  <c r="G38" i="29870" s="1"/>
  <c r="N65" i="29868"/>
  <c r="O37" i="29870" s="1"/>
  <c r="M65" i="29868"/>
  <c r="G37" i="29870" s="1"/>
  <c r="N64" i="29868"/>
  <c r="L60" i="29870" s="1"/>
  <c r="M64" i="29868"/>
  <c r="G60" i="29870" s="1"/>
  <c r="N62" i="29868"/>
  <c r="O57" i="29870" s="1"/>
  <c r="M62" i="29868"/>
  <c r="G57" i="29870" s="1"/>
  <c r="N60" i="29868"/>
  <c r="O13" i="29870" s="1"/>
  <c r="M60" i="29868"/>
  <c r="G13" i="29870" s="1"/>
  <c r="N56" i="29868"/>
  <c r="O11" i="29870" s="1"/>
  <c r="M56" i="29868"/>
  <c r="G11" i="29870" s="1"/>
  <c r="N59" i="29868"/>
  <c r="L40" i="29870" s="1"/>
  <c r="M59" i="29868"/>
  <c r="D40" i="29870" s="1"/>
  <c r="N58" i="29868"/>
  <c r="L39" i="29870" s="1"/>
  <c r="M58" i="29868"/>
  <c r="D39" i="29870" s="1"/>
  <c r="N57" i="29868"/>
  <c r="O12" i="29870" s="1"/>
  <c r="M57" i="29868"/>
  <c r="G12" i="29870" s="1"/>
  <c r="N55" i="29868"/>
  <c r="O10" i="29870" s="1"/>
  <c r="M55" i="29868"/>
  <c r="G10" i="29870" s="1"/>
  <c r="N54" i="29868"/>
  <c r="O9" i="29870" s="1"/>
  <c r="M54" i="29868"/>
  <c r="G9" i="29870" s="1"/>
  <c r="N53" i="29868"/>
  <c r="L58" i="29870" s="1"/>
  <c r="M53" i="29868"/>
  <c r="D58" i="29870" s="1"/>
  <c r="N52" i="29868"/>
  <c r="M52" i="29868"/>
  <c r="N51" i="29868"/>
  <c r="M51" i="29868"/>
  <c r="N48" i="29868"/>
  <c r="L45" i="29870" s="1"/>
  <c r="M48" i="29868"/>
  <c r="D45" i="29870" s="1"/>
  <c r="N46" i="29868"/>
  <c r="M46" i="29868"/>
  <c r="N44" i="29868"/>
  <c r="M44" i="29868"/>
  <c r="N42" i="29868"/>
  <c r="M42" i="29868"/>
  <c r="N40" i="29868"/>
  <c r="M40" i="29868"/>
  <c r="N39" i="29868"/>
  <c r="M39" i="29868"/>
  <c r="N38" i="29868"/>
  <c r="L44" i="29870" s="1"/>
  <c r="M38" i="29868"/>
  <c r="D44" i="29870" s="1"/>
  <c r="N36" i="29868"/>
  <c r="M36" i="29868"/>
  <c r="N35" i="29868"/>
  <c r="N34" i="29868"/>
  <c r="M34" i="29868"/>
  <c r="N33" i="29868"/>
  <c r="M33" i="29868"/>
  <c r="N32" i="29868"/>
  <c r="M32" i="29868"/>
  <c r="N31" i="29868"/>
  <c r="M31" i="29868"/>
  <c r="N29" i="29868"/>
  <c r="M29" i="29868"/>
  <c r="N20" i="29868"/>
  <c r="L13" i="29870" s="1"/>
  <c r="M20" i="29868"/>
  <c r="D13" i="29870" s="1"/>
  <c r="N24" i="29868"/>
  <c r="L17" i="29870" s="1"/>
  <c r="M24" i="29868"/>
  <c r="D17" i="29870" s="1"/>
  <c r="N25" i="29868"/>
  <c r="O15" i="29870" s="1"/>
  <c r="M25" i="29868"/>
  <c r="N19" i="29868"/>
  <c r="L12" i="29870" s="1"/>
  <c r="M19" i="29868"/>
  <c r="D12" i="29870" s="1"/>
  <c r="N23" i="29868"/>
  <c r="L16" i="29870" s="1"/>
  <c r="M23" i="29868"/>
  <c r="D16" i="29870" s="1"/>
  <c r="N18" i="29868"/>
  <c r="L11" i="29870" s="1"/>
  <c r="M18" i="29868"/>
  <c r="D11" i="29870" s="1"/>
  <c r="N22" i="29868"/>
  <c r="L15" i="29870" s="1"/>
  <c r="M22" i="29868"/>
  <c r="D15" i="29870" s="1"/>
  <c r="N17" i="29868"/>
  <c r="L10" i="29870" s="1"/>
  <c r="M17" i="29868"/>
  <c r="D10" i="29870" s="1"/>
  <c r="N15" i="29868"/>
  <c r="M15" i="29868"/>
  <c r="N14" i="29868"/>
  <c r="M14" i="29868"/>
  <c r="N13" i="29868"/>
  <c r="M13" i="29868"/>
  <c r="N12" i="29868"/>
  <c r="M12" i="29868"/>
  <c r="N10" i="29868"/>
  <c r="L19" i="29870" s="1"/>
  <c r="M10" i="29868"/>
  <c r="D19" i="29870" s="1"/>
  <c r="N8" i="29868"/>
  <c r="M8" i="29868"/>
  <c r="N9" i="29868"/>
  <c r="M9" i="29868"/>
  <c r="N6" i="29868"/>
  <c r="O61" i="29870" s="1"/>
  <c r="M6" i="29868"/>
  <c r="D61" i="29870" s="1"/>
  <c r="N5" i="29868"/>
  <c r="M5" i="29868"/>
  <c r="O1" i="29868"/>
  <c r="K72" i="29868"/>
  <c r="K77" i="29868"/>
  <c r="I112" i="29873"/>
  <c r="M112" i="29873" s="1"/>
  <c r="K162" i="29868"/>
  <c r="L130" i="29868"/>
  <c r="M30" i="29868"/>
  <c r="M184" i="29868"/>
  <c r="F65" i="29869"/>
  <c r="I131" i="29873"/>
  <c r="M131" i="29873" s="1"/>
  <c r="K61" i="29873"/>
  <c r="E40" i="29873"/>
  <c r="F193" i="29869"/>
  <c r="L30" i="29868"/>
  <c r="AD11" i="29873"/>
  <c r="K84" i="29868"/>
  <c r="K83" i="29868"/>
  <c r="K130" i="29868"/>
  <c r="N130" i="29868"/>
  <c r="F126" i="29873"/>
  <c r="K96" i="29868"/>
  <c r="AE11" i="29873"/>
  <c r="K24" i="29868"/>
  <c r="AF59" i="29873" l="1"/>
  <c r="L16" i="29868"/>
  <c r="I71" i="29873"/>
  <c r="G65" i="29869"/>
  <c r="H65" i="29869" s="1"/>
  <c r="S20" i="29883"/>
  <c r="U163" i="29868"/>
  <c r="L135" i="29868"/>
  <c r="AE13" i="29873"/>
  <c r="AE15" i="29873" s="1"/>
  <c r="M16" i="29876"/>
  <c r="I20" i="29883"/>
  <c r="N20" i="29883"/>
  <c r="R163" i="29868"/>
  <c r="I89" i="29873"/>
  <c r="K12" i="29876"/>
  <c r="I162" i="29873"/>
  <c r="M162" i="29873" s="1"/>
  <c r="L179" i="29868"/>
  <c r="N10" i="29883"/>
  <c r="M17" i="29876"/>
  <c r="N17" i="29876" s="1"/>
  <c r="D48" i="29880"/>
  <c r="C11" i="29879" s="1"/>
  <c r="S16" i="29883"/>
  <c r="F182" i="29873"/>
  <c r="I121" i="29873"/>
  <c r="M121" i="29873" s="1"/>
  <c r="M96" i="29868"/>
  <c r="G100" i="29869"/>
  <c r="H100" i="29869" s="1"/>
  <c r="L100" i="29869" s="1"/>
  <c r="F40" i="29873"/>
  <c r="M12" i="29876"/>
  <c r="N12" i="29876" s="1"/>
  <c r="F12" i="29876"/>
  <c r="N162" i="29868"/>
  <c r="L69" i="29868"/>
  <c r="L11" i="29868"/>
  <c r="G77" i="29873"/>
  <c r="I72" i="29873"/>
  <c r="C26" i="29882"/>
  <c r="F38" i="29873"/>
  <c r="E88" i="29868"/>
  <c r="C13" i="29882"/>
  <c r="D26" i="29880"/>
  <c r="D24" i="29882"/>
  <c r="E24" i="29882" s="1"/>
  <c r="C34" i="29881" s="1"/>
  <c r="C24" i="29880"/>
  <c r="E24" i="29880" s="1"/>
  <c r="C34" i="29879" s="1"/>
  <c r="F162" i="29868"/>
  <c r="C37" i="29882"/>
  <c r="D48" i="29882"/>
  <c r="C48" i="29880"/>
  <c r="E48" i="29880" s="1"/>
  <c r="N27" i="29868"/>
  <c r="H14" i="29882"/>
  <c r="H15" i="29882" s="1"/>
  <c r="H21" i="29882" s="1"/>
  <c r="H28" i="29882" s="1"/>
  <c r="H162" i="29868"/>
  <c r="D37" i="29882"/>
  <c r="C37" i="29880"/>
  <c r="F132" i="29873"/>
  <c r="L162" i="29868"/>
  <c r="D59" i="29870"/>
  <c r="E77" i="29873"/>
  <c r="G70" i="29868"/>
  <c r="I14" i="29882"/>
  <c r="H14" i="29880"/>
  <c r="H15" i="29880" s="1"/>
  <c r="I19" i="29882"/>
  <c r="H19" i="29880"/>
  <c r="H20" i="29880" s="1"/>
  <c r="E23" i="29878"/>
  <c r="E73" i="29878" s="1"/>
  <c r="D37" i="29880"/>
  <c r="H165" i="29868"/>
  <c r="D38" i="29882"/>
  <c r="E38" i="29882" s="1"/>
  <c r="C38" i="29880"/>
  <c r="G230" i="29869"/>
  <c r="I230" i="29869" s="1"/>
  <c r="M230" i="29869" s="1"/>
  <c r="D37" i="29870"/>
  <c r="G88" i="29868"/>
  <c r="D13" i="29882"/>
  <c r="C13" i="29880"/>
  <c r="E13" i="29880" s="1"/>
  <c r="C16" i="29879" s="1"/>
  <c r="N179" i="29868"/>
  <c r="I65" i="29869"/>
  <c r="M69" i="29868"/>
  <c r="M165" i="29868"/>
  <c r="K5" i="29873"/>
  <c r="E88" i="29873"/>
  <c r="I88" i="29873" s="1"/>
  <c r="G15" i="29870"/>
  <c r="G107" i="29869"/>
  <c r="H107" i="29869" s="1"/>
  <c r="L107" i="29869" s="1"/>
  <c r="G176" i="29869"/>
  <c r="I176" i="29869" s="1"/>
  <c r="G181" i="29869"/>
  <c r="H181" i="29869" s="1"/>
  <c r="N181" i="29869" s="1"/>
  <c r="G211" i="29869"/>
  <c r="H211" i="29869" s="1"/>
  <c r="L211" i="29869" s="1"/>
  <c r="G188" i="29869"/>
  <c r="H188" i="29869" s="1"/>
  <c r="N188" i="29869" s="1"/>
  <c r="G207" i="29869"/>
  <c r="I207" i="29869" s="1"/>
  <c r="O207" i="29869" s="1"/>
  <c r="G89" i="29869"/>
  <c r="I89" i="29869" s="1"/>
  <c r="O89" i="29869" s="1"/>
  <c r="G229" i="29869"/>
  <c r="H229" i="29869" s="1"/>
  <c r="L229" i="29869" s="1"/>
  <c r="J245" i="29869"/>
  <c r="P245" i="29869" s="1"/>
  <c r="F160" i="29869" s="1"/>
  <c r="O65" i="29876"/>
  <c r="P65" i="29876" s="1"/>
  <c r="M37" i="29868"/>
  <c r="D42" i="29870" s="1"/>
  <c r="D19" i="29882"/>
  <c r="C19" i="29880"/>
  <c r="E19" i="29880" s="1"/>
  <c r="J70" i="29868"/>
  <c r="J80" i="29868" s="1"/>
  <c r="K74" i="29868" s="1"/>
  <c r="I14" i="29880"/>
  <c r="I20" i="29880"/>
  <c r="L96" i="29868"/>
  <c r="E22" i="29876"/>
  <c r="O22" i="29876" s="1"/>
  <c r="P22" i="29876" s="1"/>
  <c r="D38" i="29880"/>
  <c r="E182" i="29873"/>
  <c r="C48" i="29882"/>
  <c r="L184" i="29868"/>
  <c r="L61" i="29870"/>
  <c r="M11" i="29868"/>
  <c r="L101" i="29868"/>
  <c r="M179" i="29868"/>
  <c r="K165" i="29868"/>
  <c r="G17" i="29876"/>
  <c r="H17" i="29876" s="1"/>
  <c r="L61" i="29868"/>
  <c r="F10" i="29873"/>
  <c r="F181" i="29873" s="1"/>
  <c r="N61" i="29868"/>
  <c r="AF7" i="29873"/>
  <c r="D43" i="29870"/>
  <c r="G86" i="29869"/>
  <c r="H86" i="29869" s="1"/>
  <c r="N86" i="29869" s="1"/>
  <c r="G108" i="29869"/>
  <c r="I108" i="29869" s="1"/>
  <c r="G183" i="29869"/>
  <c r="I183" i="29869" s="1"/>
  <c r="O183" i="29869" s="1"/>
  <c r="G60" i="29869"/>
  <c r="I60" i="29869" s="1"/>
  <c r="O60" i="29869" s="1"/>
  <c r="G76" i="29869"/>
  <c r="H76" i="29869" s="1"/>
  <c r="L76" i="29869" s="1"/>
  <c r="G95" i="29869"/>
  <c r="H95" i="29869" s="1"/>
  <c r="N95" i="29869" s="1"/>
  <c r="G92" i="29869"/>
  <c r="H92" i="29869" s="1"/>
  <c r="K92" i="29869" s="1"/>
  <c r="J122" i="29869" s="1"/>
  <c r="I78" i="29873"/>
  <c r="L26" i="29870"/>
  <c r="N37" i="29868"/>
  <c r="L42" i="29870" s="1"/>
  <c r="N184" i="29868"/>
  <c r="F11" i="29876"/>
  <c r="O58" i="29870"/>
  <c r="M162" i="29868"/>
  <c r="L76" i="29868"/>
  <c r="N76" i="29868"/>
  <c r="O17" i="29870"/>
  <c r="O23" i="29870" s="1"/>
  <c r="O27" i="29870" s="1"/>
  <c r="V34" i="29876"/>
  <c r="N69" i="29868"/>
  <c r="F13" i="29878"/>
  <c r="I11" i="29876"/>
  <c r="J11" i="29876" s="1"/>
  <c r="G11" i="29876"/>
  <c r="H11" i="29876" s="1"/>
  <c r="K11" i="29876"/>
  <c r="L11" i="29876" s="1"/>
  <c r="G16" i="29876"/>
  <c r="H16" i="29876" s="1"/>
  <c r="O16" i="29876"/>
  <c r="P16" i="29876" s="1"/>
  <c r="M11" i="29876"/>
  <c r="N11" i="29876" s="1"/>
  <c r="K16" i="29876"/>
  <c r="L16" i="29876" s="1"/>
  <c r="I16" i="29876"/>
  <c r="J16" i="29876" s="1"/>
  <c r="M122" i="29868"/>
  <c r="G154" i="29873"/>
  <c r="M182" i="29868"/>
  <c r="N135" i="29868"/>
  <c r="N101" i="29868"/>
  <c r="G185" i="29868"/>
  <c r="I185" i="29868" s="1"/>
  <c r="F148" i="29873"/>
  <c r="F117" i="29873"/>
  <c r="N165" i="29868"/>
  <c r="L37" i="29868"/>
  <c r="L59" i="29870"/>
  <c r="AF13" i="29873"/>
  <c r="L122" i="29868"/>
  <c r="D60" i="29870"/>
  <c r="M101" i="29868"/>
  <c r="E38" i="29873"/>
  <c r="D21" i="29870"/>
  <c r="K117" i="29869"/>
  <c r="J44" i="29869" s="1"/>
  <c r="G40" i="29873"/>
  <c r="M76" i="29868"/>
  <c r="E10" i="29873"/>
  <c r="E181" i="29873" s="1"/>
  <c r="L182" i="29868"/>
  <c r="G148" i="29873"/>
  <c r="H148" i="29873" s="1"/>
  <c r="AF58" i="29873"/>
  <c r="AF60" i="29873" s="1"/>
  <c r="N122" i="29868"/>
  <c r="O59" i="29870"/>
  <c r="F119" i="29873"/>
  <c r="G142" i="29873"/>
  <c r="F46" i="29869"/>
  <c r="K135" i="29868"/>
  <c r="O60" i="29870"/>
  <c r="K122" i="29868"/>
  <c r="G38" i="29873"/>
  <c r="K245" i="29869"/>
  <c r="J172" i="29869" s="1"/>
  <c r="G49" i="29868"/>
  <c r="G116" i="29873" s="1"/>
  <c r="F154" i="29873"/>
  <c r="I149" i="29873"/>
  <c r="M149" i="29873" s="1"/>
  <c r="F121" i="29873"/>
  <c r="G149" i="29873"/>
  <c r="G50" i="29869"/>
  <c r="I50" i="29869" s="1"/>
  <c r="E174" i="29869"/>
  <c r="E200" i="29869"/>
  <c r="E232" i="29869"/>
  <c r="G80" i="29869"/>
  <c r="H80" i="29869" s="1"/>
  <c r="L80" i="29869" s="1"/>
  <c r="E82" i="29869"/>
  <c r="G102" i="29869"/>
  <c r="H102" i="29869" s="1"/>
  <c r="L102" i="29869" s="1"/>
  <c r="J6" i="29873"/>
  <c r="I76" i="29873"/>
  <c r="I142" i="29873"/>
  <c r="M142" i="29873" s="1"/>
  <c r="F127" i="29873"/>
  <c r="I154" i="29873"/>
  <c r="M154" i="29873" s="1"/>
  <c r="G147" i="29873"/>
  <c r="F136" i="29873"/>
  <c r="F118" i="29873"/>
  <c r="F131" i="29873"/>
  <c r="F112" i="29873"/>
  <c r="G42" i="29869"/>
  <c r="I42" i="29869" s="1"/>
  <c r="Q42" i="29869" s="1"/>
  <c r="I32" i="29869" s="1"/>
  <c r="G113" i="29873"/>
  <c r="O9" i="29876"/>
  <c r="P9" i="29876" s="1"/>
  <c r="G114" i="29873"/>
  <c r="J72" i="29869"/>
  <c r="G49" i="29869"/>
  <c r="I49" i="29869" s="1"/>
  <c r="G73" i="29869"/>
  <c r="H73" i="29869" s="1"/>
  <c r="L73" i="29869" s="1"/>
  <c r="G98" i="29869"/>
  <c r="I98" i="29869" s="1"/>
  <c r="M98" i="29869" s="1"/>
  <c r="E111" i="29869"/>
  <c r="E114" i="29869" s="1"/>
  <c r="G170" i="29869"/>
  <c r="H170" i="29869" s="1"/>
  <c r="P170" i="29869" s="1"/>
  <c r="F158" i="29869" s="1"/>
  <c r="F190" i="29869"/>
  <c r="G185" i="29869"/>
  <c r="I185" i="29869" s="1"/>
  <c r="O185" i="29869" s="1"/>
  <c r="G195" i="29869"/>
  <c r="H195" i="29869" s="1"/>
  <c r="F232" i="29869"/>
  <c r="G193" i="29869"/>
  <c r="I193" i="29869" s="1"/>
  <c r="F114" i="29873"/>
  <c r="F142" i="29873"/>
  <c r="F128" i="29873"/>
  <c r="H128" i="29873" s="1"/>
  <c r="F134" i="29873"/>
  <c r="E62" i="29869"/>
  <c r="G44" i="29869"/>
  <c r="I44" i="29869" s="1"/>
  <c r="G109" i="29869"/>
  <c r="H109" i="29869" s="1"/>
  <c r="G172" i="29869"/>
  <c r="H172" i="29869" s="1"/>
  <c r="I148" i="29873"/>
  <c r="M148" i="29873" s="1"/>
  <c r="E54" i="29873"/>
  <c r="F79" i="29873" s="1"/>
  <c r="F149" i="29873"/>
  <c r="F113" i="29873"/>
  <c r="E177" i="29873"/>
  <c r="I147" i="29873"/>
  <c r="M147" i="29873" s="1"/>
  <c r="G118" i="29873"/>
  <c r="O17" i="29876"/>
  <c r="P17" i="29876" s="1"/>
  <c r="F17" i="29876"/>
  <c r="I74" i="29873"/>
  <c r="G101" i="29869"/>
  <c r="H101" i="29869" s="1"/>
  <c r="L101" i="29869" s="1"/>
  <c r="G121" i="29873"/>
  <c r="G132" i="29873"/>
  <c r="I79" i="29873"/>
  <c r="G203" i="29869"/>
  <c r="I203" i="29869" s="1"/>
  <c r="M203" i="29869" s="1"/>
  <c r="I75" i="29873"/>
  <c r="I128" i="29873"/>
  <c r="M128" i="29873" s="1"/>
  <c r="I73" i="29873"/>
  <c r="G134" i="29873"/>
  <c r="J134" i="29873" s="1"/>
  <c r="G133" i="29873"/>
  <c r="H133" i="29873" s="1"/>
  <c r="G119" i="29873"/>
  <c r="G112" i="29873"/>
  <c r="J112" i="29873" s="1"/>
  <c r="F200" i="29869"/>
  <c r="I17" i="29876"/>
  <c r="J17" i="29876" s="1"/>
  <c r="M9" i="29876"/>
  <c r="G117" i="29873"/>
  <c r="E91" i="29873"/>
  <c r="I91" i="29873" s="1"/>
  <c r="F176" i="29873"/>
  <c r="I114" i="29873"/>
  <c r="M114" i="29873" s="1"/>
  <c r="G54" i="29873"/>
  <c r="H94" i="29873" s="1"/>
  <c r="I127" i="29873"/>
  <c r="M127" i="29873" s="1"/>
  <c r="F177" i="29873"/>
  <c r="E46" i="29869"/>
  <c r="E72" i="29869"/>
  <c r="G68" i="29869"/>
  <c r="I68" i="29869" s="1"/>
  <c r="F104" i="29869"/>
  <c r="G106" i="29869"/>
  <c r="I106" i="29869" s="1"/>
  <c r="M106" i="29869" s="1"/>
  <c r="F179" i="29869"/>
  <c r="G180" i="29869"/>
  <c r="H180" i="29869" s="1"/>
  <c r="N180" i="29869" s="1"/>
  <c r="G192" i="29869"/>
  <c r="H192" i="29869" s="1"/>
  <c r="F224" i="29869"/>
  <c r="F82" i="29869"/>
  <c r="G231" i="29869"/>
  <c r="I231" i="29869" s="1"/>
  <c r="M231" i="29869" s="1"/>
  <c r="G227" i="29869"/>
  <c r="I227" i="29869" s="1"/>
  <c r="M227" i="29869" s="1"/>
  <c r="G112" i="29869"/>
  <c r="H112" i="29869" s="1"/>
  <c r="L112" i="29869" s="1"/>
  <c r="I94" i="29873"/>
  <c r="G136" i="29873"/>
  <c r="G127" i="29873"/>
  <c r="G9" i="29876"/>
  <c r="G93" i="29869"/>
  <c r="I93" i="29869" s="1"/>
  <c r="O93" i="29869" s="1"/>
  <c r="G240" i="29869"/>
  <c r="H240" i="29869" s="1"/>
  <c r="L240" i="29869" s="1"/>
  <c r="G126" i="29873"/>
  <c r="H126" i="29873" s="1"/>
  <c r="G131" i="29873"/>
  <c r="J131" i="29873" s="1"/>
  <c r="F54" i="29873"/>
  <c r="H72" i="29873" s="1"/>
  <c r="K9" i="29876"/>
  <c r="F9" i="29876"/>
  <c r="I119" i="29873"/>
  <c r="M119" i="29873" s="1"/>
  <c r="I136" i="29873"/>
  <c r="M136" i="29873" s="1"/>
  <c r="G47" i="29869"/>
  <c r="I47" i="29869" s="1"/>
  <c r="F72" i="29869"/>
  <c r="F96" i="29869"/>
  <c r="E179" i="29869"/>
  <c r="G182" i="29869"/>
  <c r="I182" i="29869" s="1"/>
  <c r="O182" i="29869" s="1"/>
  <c r="G226" i="29869"/>
  <c r="I226" i="29869" s="1"/>
  <c r="M226" i="29869" s="1"/>
  <c r="D26" i="29870"/>
  <c r="I87" i="29873"/>
  <c r="I92" i="29873"/>
  <c r="J88" i="29868"/>
  <c r="E61" i="29878"/>
  <c r="G119" i="29868"/>
  <c r="G123" i="29868" s="1"/>
  <c r="G132" i="29868" s="1"/>
  <c r="G136" i="29868" s="1"/>
  <c r="F7" i="29873"/>
  <c r="F178" i="29873" s="1"/>
  <c r="I118" i="29873"/>
  <c r="F51" i="29869"/>
  <c r="G214" i="29869"/>
  <c r="I214" i="29869" s="1"/>
  <c r="O214" i="29869" s="1"/>
  <c r="K6" i="29873"/>
  <c r="G58" i="29870"/>
  <c r="J200" i="29869"/>
  <c r="I117" i="29873"/>
  <c r="M117" i="29873" s="1"/>
  <c r="F129" i="29873"/>
  <c r="E80" i="29873"/>
  <c r="O43" i="29876"/>
  <c r="P43" i="29876" s="1"/>
  <c r="E8" i="29878"/>
  <c r="G7" i="29873"/>
  <c r="G178" i="29873" s="1"/>
  <c r="I211" i="29869"/>
  <c r="M211" i="29869" s="1"/>
  <c r="G177" i="29873"/>
  <c r="M202" i="29873" s="1"/>
  <c r="G177" i="29869"/>
  <c r="I177" i="29869" s="1"/>
  <c r="AD58" i="29873"/>
  <c r="AD60" i="29873" s="1"/>
  <c r="N96" i="29868"/>
  <c r="G80" i="29873"/>
  <c r="H34" i="29876"/>
  <c r="F16" i="29876"/>
  <c r="O11" i="29876"/>
  <c r="P11" i="29876" s="1"/>
  <c r="G61" i="29870"/>
  <c r="M135" i="29868"/>
  <c r="G182" i="29873"/>
  <c r="I207" i="29873" s="1"/>
  <c r="N16" i="29868"/>
  <c r="L9" i="29870" s="1"/>
  <c r="G24" i="29870"/>
  <c r="G26" i="29870" s="1"/>
  <c r="AE59" i="29873"/>
  <c r="AE60" i="29873" s="1"/>
  <c r="N182" i="29868"/>
  <c r="M16" i="29868"/>
  <c r="D9" i="29870" s="1"/>
  <c r="I113" i="29873"/>
  <c r="M113" i="29873" s="1"/>
  <c r="I132" i="29873"/>
  <c r="M132" i="29873" s="1"/>
  <c r="K101" i="29868"/>
  <c r="G17" i="29870"/>
  <c r="G110" i="29869"/>
  <c r="H110" i="29869" s="1"/>
  <c r="G129" i="29873"/>
  <c r="I129" i="29873"/>
  <c r="M129" i="29873" s="1"/>
  <c r="E181" i="29868"/>
  <c r="F138" i="29873" s="1"/>
  <c r="E7" i="29873"/>
  <c r="E178" i="29873" s="1"/>
  <c r="J19" i="29878"/>
  <c r="K19" i="29878"/>
  <c r="J21" i="29878"/>
  <c r="K21" i="29878"/>
  <c r="I61" i="29878"/>
  <c r="I13" i="29878" s="1"/>
  <c r="J13" i="29878" s="1"/>
  <c r="J22" i="29878"/>
  <c r="U8" i="29878"/>
  <c r="K6" i="29878"/>
  <c r="J18" i="29878"/>
  <c r="J6" i="29878"/>
  <c r="N58" i="29878"/>
  <c r="L14" i="29878"/>
  <c r="L65" i="29878"/>
  <c r="J9" i="29878"/>
  <c r="L56" i="29878"/>
  <c r="J11" i="29878"/>
  <c r="I11" i="29878" s="1"/>
  <c r="L55" i="29878"/>
  <c r="J10" i="29878"/>
  <c r="I10" i="29878" s="1"/>
  <c r="L57" i="29878"/>
  <c r="J12" i="29878"/>
  <c r="I12" i="29878" s="1"/>
  <c r="K17" i="29878"/>
  <c r="J17" i="29878"/>
  <c r="J20" i="29878"/>
  <c r="K20" i="29878"/>
  <c r="I122" i="29868"/>
  <c r="G162" i="29873"/>
  <c r="J162" i="29873" s="1"/>
  <c r="H96" i="29868"/>
  <c r="M117" i="29868"/>
  <c r="AD7" i="29873"/>
  <c r="AD15" i="29873" s="1"/>
  <c r="F96" i="29868"/>
  <c r="J117" i="29869"/>
  <c r="G59" i="29870"/>
  <c r="F174" i="29869"/>
  <c r="M27" i="29868"/>
  <c r="L27" i="29868"/>
  <c r="N11" i="29868"/>
  <c r="K108" i="29869"/>
  <c r="I165" i="29868"/>
  <c r="L21" i="29870"/>
  <c r="F147" i="29873"/>
  <c r="M61" i="29868"/>
  <c r="F210" i="29869"/>
  <c r="L43" i="29870"/>
  <c r="G93" i="29873"/>
  <c r="I27" i="29868"/>
  <c r="A44" i="29873"/>
  <c r="G88" i="29869"/>
  <c r="H88" i="29869" s="1"/>
  <c r="P88" i="29869" s="1"/>
  <c r="F31" i="29869" s="1"/>
  <c r="K236" i="29869"/>
  <c r="L119" i="29869"/>
  <c r="F8" i="29869" s="1"/>
  <c r="L165" i="29868"/>
  <c r="I133" i="29873"/>
  <c r="M133" i="29873" s="1"/>
  <c r="G10" i="29873"/>
  <c r="G181" i="29873" s="1"/>
  <c r="I206" i="29873" s="1"/>
  <c r="G12" i="29876"/>
  <c r="H12" i="29876" s="1"/>
  <c r="O12" i="29876"/>
  <c r="P12" i="29876" s="1"/>
  <c r="E37" i="29876"/>
  <c r="F37" i="29876" s="1"/>
  <c r="N106" i="29868"/>
  <c r="J181" i="29868"/>
  <c r="I137" i="29873" s="1"/>
  <c r="K117" i="29868"/>
  <c r="N117" i="29868"/>
  <c r="L117" i="29868"/>
  <c r="K104" i="29868"/>
  <c r="F165" i="29868"/>
  <c r="E21" i="29876"/>
  <c r="O21" i="29876" s="1"/>
  <c r="P21" i="29876" s="1"/>
  <c r="I179" i="29868"/>
  <c r="I135" i="29868"/>
  <c r="G70" i="29869"/>
  <c r="I70" i="29869" s="1"/>
  <c r="G61" i="29869"/>
  <c r="I61" i="29869" s="1"/>
  <c r="O61" i="29869" s="1"/>
  <c r="G75" i="29869"/>
  <c r="G113" i="29869"/>
  <c r="H113" i="29869" s="1"/>
  <c r="E10" i="29876"/>
  <c r="E13" i="29876" s="1"/>
  <c r="E14" i="29876" s="1"/>
  <c r="I182" i="29868"/>
  <c r="G237" i="29869"/>
  <c r="I237" i="29869" s="1"/>
  <c r="G234" i="29869"/>
  <c r="I234" i="29869" s="1"/>
  <c r="M234" i="29869" s="1"/>
  <c r="G91" i="29869"/>
  <c r="H91" i="29869" s="1"/>
  <c r="N91" i="29869" s="1"/>
  <c r="I184" i="29868"/>
  <c r="I69" i="29868"/>
  <c r="G220" i="29869"/>
  <c r="H220" i="29869" s="1"/>
  <c r="K220" i="29869" s="1"/>
  <c r="J250" i="29869" s="1"/>
  <c r="G222" i="29869"/>
  <c r="I222" i="29869" s="1"/>
  <c r="O222" i="29869" s="1"/>
  <c r="G96" i="29873"/>
  <c r="G206" i="29869"/>
  <c r="I206" i="29869" s="1"/>
  <c r="M206" i="29869" s="1"/>
  <c r="G208" i="29869"/>
  <c r="I208" i="29869" s="1"/>
  <c r="M208" i="29869" s="1"/>
  <c r="G204" i="29869"/>
  <c r="I204" i="29869" s="1"/>
  <c r="M204" i="29869" s="1"/>
  <c r="G78" i="29869"/>
  <c r="I78" i="29869" s="1"/>
  <c r="M78" i="29869" s="1"/>
  <c r="I37" i="29868"/>
  <c r="F115" i="29873"/>
  <c r="G28" i="29868"/>
  <c r="G146" i="29873" s="1"/>
  <c r="J28" i="29868"/>
  <c r="D15" i="29880" s="1"/>
  <c r="L41" i="29870"/>
  <c r="G43" i="29869"/>
  <c r="I43" i="29869" s="1"/>
  <c r="O43" i="29869" s="1"/>
  <c r="G48" i="29869"/>
  <c r="H48" i="29869" s="1"/>
  <c r="F62" i="29869"/>
  <c r="G53" i="29869"/>
  <c r="H53" i="29869" s="1"/>
  <c r="N53" i="29869" s="1"/>
  <c r="G56" i="29869"/>
  <c r="I56" i="29869" s="1"/>
  <c r="O56" i="29869" s="1"/>
  <c r="G57" i="29869"/>
  <c r="I57" i="29869" s="1"/>
  <c r="O57" i="29869" s="1"/>
  <c r="G59" i="29869"/>
  <c r="H59" i="29869" s="1"/>
  <c r="N59" i="29869" s="1"/>
  <c r="G64" i="29869"/>
  <c r="I64" i="29869" s="1"/>
  <c r="G66" i="29869"/>
  <c r="I66" i="29869" s="1"/>
  <c r="G69" i="29869"/>
  <c r="I69" i="29869" s="1"/>
  <c r="G74" i="29869"/>
  <c r="I74" i="29869" s="1"/>
  <c r="M74" i="29869" s="1"/>
  <c r="G83" i="29869"/>
  <c r="I83" i="29869" s="1"/>
  <c r="M83" i="29869" s="1"/>
  <c r="G41" i="29876"/>
  <c r="H41" i="29876" s="1"/>
  <c r="G42" i="29876"/>
  <c r="H42" i="29876" s="1"/>
  <c r="E36" i="29876"/>
  <c r="F36" i="29876" s="1"/>
  <c r="E61" i="29876"/>
  <c r="F61" i="29876" s="1"/>
  <c r="G66" i="29876"/>
  <c r="H66" i="29876" s="1"/>
  <c r="I65" i="29876"/>
  <c r="J65" i="29876" s="1"/>
  <c r="M65" i="29876"/>
  <c r="N65" i="29876" s="1"/>
  <c r="I66" i="29876"/>
  <c r="J66" i="29876" s="1"/>
  <c r="M66" i="29876"/>
  <c r="N66" i="29876" s="1"/>
  <c r="I67" i="29876"/>
  <c r="J67" i="29876" s="1"/>
  <c r="M67" i="29876"/>
  <c r="N67" i="29876" s="1"/>
  <c r="G43" i="29876"/>
  <c r="H43" i="29876" s="1"/>
  <c r="G65" i="29876"/>
  <c r="G67" i="29876"/>
  <c r="H67" i="29876" s="1"/>
  <c r="K65" i="29876"/>
  <c r="L65" i="29876" s="1"/>
  <c r="K66" i="29876"/>
  <c r="L66" i="29876" s="1"/>
  <c r="O66" i="29876"/>
  <c r="P66" i="29876" s="1"/>
  <c r="K67" i="29876"/>
  <c r="L67" i="29876" s="1"/>
  <c r="H58" i="29876"/>
  <c r="L58" i="29876"/>
  <c r="P58" i="29876"/>
  <c r="P42" i="29876"/>
  <c r="J58" i="29876"/>
  <c r="N58" i="29876"/>
  <c r="P67" i="29876"/>
  <c r="V58" i="29876"/>
  <c r="O60" i="29876"/>
  <c r="P60" i="29876" s="1"/>
  <c r="G60" i="29876"/>
  <c r="H60" i="29876" s="1"/>
  <c r="I60" i="29876"/>
  <c r="J60" i="29876" s="1"/>
  <c r="K60" i="29876"/>
  <c r="L60" i="29876" s="1"/>
  <c r="M60" i="29876"/>
  <c r="N60" i="29876" s="1"/>
  <c r="N15" i="29876"/>
  <c r="G15" i="29876"/>
  <c r="K15" i="29876"/>
  <c r="O15" i="29876"/>
  <c r="E19" i="29876"/>
  <c r="F15" i="29876"/>
  <c r="I15" i="29876"/>
  <c r="I156" i="29873"/>
  <c r="M156" i="29873" s="1"/>
  <c r="M47" i="29868"/>
  <c r="J49" i="29868"/>
  <c r="I47" i="29868"/>
  <c r="I100" i="29869"/>
  <c r="M100" i="29869" s="1"/>
  <c r="D41" i="29870"/>
  <c r="E239" i="29869"/>
  <c r="E242" i="29869" s="1"/>
  <c r="G236" i="29869"/>
  <c r="H236" i="29869" s="1"/>
  <c r="I61" i="29868"/>
  <c r="I76" i="29868"/>
  <c r="I18" i="29883"/>
  <c r="G79" i="29868"/>
  <c r="F101" i="29868"/>
  <c r="H101" i="29868"/>
  <c r="I117" i="29868"/>
  <c r="J119" i="29868"/>
  <c r="J123" i="29868" s="1"/>
  <c r="F122" i="29868"/>
  <c r="F135" i="29868"/>
  <c r="I139" i="29868"/>
  <c r="F141" i="29868"/>
  <c r="I155" i="29868"/>
  <c r="C35" i="29882"/>
  <c r="G156" i="29868"/>
  <c r="I162" i="29868"/>
  <c r="G181" i="29868"/>
  <c r="F139" i="29873"/>
  <c r="I11" i="29868"/>
  <c r="I16" i="29868"/>
  <c r="I46" i="29868"/>
  <c r="I96" i="29868"/>
  <c r="I101" i="29868"/>
  <c r="C33" i="29882"/>
  <c r="C34" i="29882" s="1"/>
  <c r="G197" i="29869"/>
  <c r="I197" i="29869" s="1"/>
  <c r="G215" i="29869"/>
  <c r="H215" i="29869" s="1"/>
  <c r="N215" i="29869" s="1"/>
  <c r="F239" i="29869"/>
  <c r="F242" i="29869" s="1"/>
  <c r="E251" i="29869"/>
  <c r="I229" i="29869"/>
  <c r="M229" i="29869" s="1"/>
  <c r="L47" i="29868"/>
  <c r="F41" i="29873"/>
  <c r="I157" i="29873"/>
  <c r="M157" i="29873" s="1"/>
  <c r="I122" i="29873"/>
  <c r="I139" i="29873"/>
  <c r="M126" i="29873"/>
  <c r="E41" i="29873"/>
  <c r="N47" i="29868"/>
  <c r="G41" i="29873"/>
  <c r="I130" i="29873"/>
  <c r="M130" i="29873" s="1"/>
  <c r="L20" i="29870"/>
  <c r="K156" i="29868"/>
  <c r="D57" i="29870"/>
  <c r="L57" i="29870"/>
  <c r="L12" i="29876"/>
  <c r="G178" i="29869"/>
  <c r="I178" i="29869" s="1"/>
  <c r="E190" i="29869"/>
  <c r="G186" i="29869"/>
  <c r="H186" i="29869" s="1"/>
  <c r="N186" i="29869" s="1"/>
  <c r="G196" i="29869"/>
  <c r="I196" i="29869" s="1"/>
  <c r="G199" i="29869"/>
  <c r="I199" i="29869" s="1"/>
  <c r="G223" i="29869"/>
  <c r="I223" i="29869" s="1"/>
  <c r="O223" i="29869" s="1"/>
  <c r="G221" i="29869"/>
  <c r="H221" i="29869" s="1"/>
  <c r="N221" i="29869" s="1"/>
  <c r="E84" i="29873"/>
  <c r="AC68" i="29873" s="1"/>
  <c r="I66" i="29873"/>
  <c r="AB74" i="29873"/>
  <c r="O86" i="29873"/>
  <c r="AB68" i="29873"/>
  <c r="A67" i="29873"/>
  <c r="H230" i="29869"/>
  <c r="L230" i="29869" s="1"/>
  <c r="H87" i="29873"/>
  <c r="G45" i="29869"/>
  <c r="I45" i="29869" s="1"/>
  <c r="E51" i="29869"/>
  <c r="G52" i="29869"/>
  <c r="H52" i="29869" s="1"/>
  <c r="G81" i="29869"/>
  <c r="I81" i="29869" s="1"/>
  <c r="M81" i="29869" s="1"/>
  <c r="G87" i="29869"/>
  <c r="H87" i="29869" s="1"/>
  <c r="E104" i="29869"/>
  <c r="E123" i="29869"/>
  <c r="G171" i="29869"/>
  <c r="H171" i="29869" s="1"/>
  <c r="N171" i="29869" s="1"/>
  <c r="G173" i="29869"/>
  <c r="H173" i="29869" s="1"/>
  <c r="G198" i="29869"/>
  <c r="I198" i="29869" s="1"/>
  <c r="G201" i="29869"/>
  <c r="H201" i="29869" s="1"/>
  <c r="L201" i="29869" s="1"/>
  <c r="F141" i="29869" s="1"/>
  <c r="G209" i="29869"/>
  <c r="I209" i="29869" s="1"/>
  <c r="M209" i="29869" s="1"/>
  <c r="E224" i="29869"/>
  <c r="G79" i="29869"/>
  <c r="I79" i="29869" s="1"/>
  <c r="G90" i="29869"/>
  <c r="I90" i="29869" s="1"/>
  <c r="O90" i="29869" s="1"/>
  <c r="G219" i="29869"/>
  <c r="I219" i="29869" s="1"/>
  <c r="O219" i="29869" s="1"/>
  <c r="G217" i="29869"/>
  <c r="I217" i="29869" s="1"/>
  <c r="O217" i="29869" s="1"/>
  <c r="G103" i="29869"/>
  <c r="I103" i="29869" s="1"/>
  <c r="M103" i="29869" s="1"/>
  <c r="G228" i="29869"/>
  <c r="H228" i="29869" s="1"/>
  <c r="L228" i="29869" s="1"/>
  <c r="I90" i="29873"/>
  <c r="G54" i="29869"/>
  <c r="I54" i="29869" s="1"/>
  <c r="O54" i="29869" s="1"/>
  <c r="G55" i="29869"/>
  <c r="H55" i="29869" s="1"/>
  <c r="N55" i="29869" s="1"/>
  <c r="G58" i="29869"/>
  <c r="I58" i="29869" s="1"/>
  <c r="O58" i="29869" s="1"/>
  <c r="G67" i="29869"/>
  <c r="I67" i="29869" s="1"/>
  <c r="G71" i="29869"/>
  <c r="I71" i="29869" s="1"/>
  <c r="E96" i="29869"/>
  <c r="G97" i="29869"/>
  <c r="H97" i="29869" s="1"/>
  <c r="F111" i="29869"/>
  <c r="G238" i="29869"/>
  <c r="I238" i="29869" s="1"/>
  <c r="G189" i="29869"/>
  <c r="H189" i="29869" s="1"/>
  <c r="N189" i="29869" s="1"/>
  <c r="G77" i="29869"/>
  <c r="I77" i="29869" s="1"/>
  <c r="M77" i="29869" s="1"/>
  <c r="G205" i="29869"/>
  <c r="I205" i="29869" s="1"/>
  <c r="M205" i="29869" s="1"/>
  <c r="G94" i="29869"/>
  <c r="H94" i="29869" s="1"/>
  <c r="N94" i="29869" s="1"/>
  <c r="G218" i="29869"/>
  <c r="H218" i="29869" s="1"/>
  <c r="N218" i="29869" s="1"/>
  <c r="G216" i="29869"/>
  <c r="I216" i="29869" s="1"/>
  <c r="G99" i="29869"/>
  <c r="H99" i="29869" s="1"/>
  <c r="L99" i="29869" s="1"/>
  <c r="G241" i="29869"/>
  <c r="I241" i="29869" s="1"/>
  <c r="M241" i="29869" s="1"/>
  <c r="G175" i="29869"/>
  <c r="I175" i="29869" s="1"/>
  <c r="G184" i="29869"/>
  <c r="H184" i="29869" s="1"/>
  <c r="G187" i="29869"/>
  <c r="H187" i="29869" s="1"/>
  <c r="N187" i="29869" s="1"/>
  <c r="G194" i="29869"/>
  <c r="H194" i="29869" s="1"/>
  <c r="E210" i="29869"/>
  <c r="G225" i="29869"/>
  <c r="H225" i="29869" s="1"/>
  <c r="G235" i="29869"/>
  <c r="I235" i="29869" s="1"/>
  <c r="L37" i="29870"/>
  <c r="I95" i="29873"/>
  <c r="E96" i="29873"/>
  <c r="G202" i="29869"/>
  <c r="E27" i="29876"/>
  <c r="N16" i="29876"/>
  <c r="O41" i="29876"/>
  <c r="P41" i="29876" s="1"/>
  <c r="J12" i="29876"/>
  <c r="I14" i="29876"/>
  <c r="J9" i="29876"/>
  <c r="K17" i="29876"/>
  <c r="I41" i="29876"/>
  <c r="J41" i="29876" s="1"/>
  <c r="K41" i="29876"/>
  <c r="L41" i="29876" s="1"/>
  <c r="M41" i="29876"/>
  <c r="N41" i="29876" s="1"/>
  <c r="I42" i="29876"/>
  <c r="J42" i="29876" s="1"/>
  <c r="K42" i="29876"/>
  <c r="L42" i="29876" s="1"/>
  <c r="M42" i="29876"/>
  <c r="N42" i="29876" s="1"/>
  <c r="I43" i="29876"/>
  <c r="J43" i="29876" s="1"/>
  <c r="M43" i="29876"/>
  <c r="N43" i="29876" s="1"/>
  <c r="G18" i="29876"/>
  <c r="I18" i="29876"/>
  <c r="M18" i="29876"/>
  <c r="F18" i="29876"/>
  <c r="K18" i="29876"/>
  <c r="O18" i="29876"/>
  <c r="K43" i="29876"/>
  <c r="L43" i="29876" s="1"/>
  <c r="E37" i="29880" l="1"/>
  <c r="H203" i="29869"/>
  <c r="L203" i="29869" s="1"/>
  <c r="I188" i="29869"/>
  <c r="O188" i="29869" s="1"/>
  <c r="G23" i="29870"/>
  <c r="G27" i="29870" s="1"/>
  <c r="F76" i="29873"/>
  <c r="K172" i="29869"/>
  <c r="J126" i="29873"/>
  <c r="H132" i="29873"/>
  <c r="I107" i="29869"/>
  <c r="M107" i="29869" s="1"/>
  <c r="Q117" i="29869"/>
  <c r="I31" i="29869" s="1"/>
  <c r="J128" i="29873"/>
  <c r="Q245" i="29869"/>
  <c r="I159" i="29869" s="1"/>
  <c r="F78" i="29873"/>
  <c r="F80" i="29873" s="1"/>
  <c r="H90" i="29873"/>
  <c r="C29" i="29879"/>
  <c r="C36" i="29879" s="1"/>
  <c r="H119" i="29873"/>
  <c r="F71" i="29873"/>
  <c r="F72" i="29873"/>
  <c r="H207" i="29869"/>
  <c r="N207" i="29869" s="1"/>
  <c r="H149" i="29873"/>
  <c r="E70" i="29873"/>
  <c r="E55" i="29873"/>
  <c r="H121" i="29873"/>
  <c r="E16" i="29878"/>
  <c r="F16" i="29878" s="1"/>
  <c r="G23" i="29878"/>
  <c r="K53" i="29868"/>
  <c r="K65" i="29868"/>
  <c r="J121" i="29873"/>
  <c r="G190" i="29869"/>
  <c r="G139" i="29873"/>
  <c r="H139" i="29873" s="1"/>
  <c r="H112" i="29873"/>
  <c r="H136" i="29873"/>
  <c r="F55" i="29873"/>
  <c r="I95" i="29869"/>
  <c r="O95" i="29869" s="1"/>
  <c r="H114" i="29873"/>
  <c r="H113" i="29873"/>
  <c r="M19" i="29876"/>
  <c r="H131" i="29873"/>
  <c r="H129" i="29873"/>
  <c r="G82" i="29869"/>
  <c r="E84" i="29869"/>
  <c r="F23" i="29878"/>
  <c r="F73" i="29878" s="1"/>
  <c r="H119" i="29868"/>
  <c r="N79" i="29868"/>
  <c r="N18" i="29883"/>
  <c r="K79" i="29868"/>
  <c r="G30" i="29873" s="1"/>
  <c r="S19" i="29883"/>
  <c r="I220" i="29869"/>
  <c r="J220" i="29869" s="1"/>
  <c r="K250" i="29869" s="1"/>
  <c r="L249" i="29869" s="1"/>
  <c r="E252" i="29869" s="1"/>
  <c r="J118" i="29873"/>
  <c r="H60" i="29869"/>
  <c r="N60" i="29869" s="1"/>
  <c r="F191" i="29869"/>
  <c r="G81" i="29873"/>
  <c r="J154" i="29873"/>
  <c r="G111" i="29873"/>
  <c r="I77" i="29873"/>
  <c r="H92" i="29873"/>
  <c r="E81" i="29873"/>
  <c r="I86" i="29869"/>
  <c r="O86" i="29869" s="1"/>
  <c r="I109" i="29869"/>
  <c r="H78" i="29869"/>
  <c r="L78" i="29869" s="1"/>
  <c r="G56" i="29873"/>
  <c r="J148" i="29873"/>
  <c r="G55" i="29873"/>
  <c r="H176" i="29869"/>
  <c r="I111" i="29873"/>
  <c r="M111" i="29873" s="1"/>
  <c r="F57" i="29873"/>
  <c r="I115" i="29873"/>
  <c r="G115" i="29873"/>
  <c r="H115" i="29873" s="1"/>
  <c r="H196" i="29869"/>
  <c r="F90" i="29873"/>
  <c r="G200" i="29869"/>
  <c r="J136" i="29873"/>
  <c r="E71" i="29876"/>
  <c r="G71" i="29876" s="1"/>
  <c r="H71" i="29876" s="1"/>
  <c r="I22" i="29876"/>
  <c r="J22" i="29876" s="1"/>
  <c r="AF15" i="29873"/>
  <c r="J149" i="29873"/>
  <c r="J129" i="29873"/>
  <c r="J133" i="29873"/>
  <c r="J132" i="29873"/>
  <c r="J127" i="29873"/>
  <c r="I236" i="29869"/>
  <c r="I239" i="29869" s="1"/>
  <c r="K56" i="29868"/>
  <c r="K60" i="29868"/>
  <c r="K51" i="29868"/>
  <c r="K52" i="29868"/>
  <c r="I152" i="29873"/>
  <c r="M152" i="29873" s="1"/>
  <c r="L70" i="29868"/>
  <c r="K70" i="29868"/>
  <c r="J119" i="29873"/>
  <c r="J117" i="29873"/>
  <c r="J142" i="29873"/>
  <c r="J114" i="29873"/>
  <c r="I146" i="29873"/>
  <c r="M146" i="29873" s="1"/>
  <c r="J113" i="29873"/>
  <c r="J147" i="29873"/>
  <c r="E38" i="29880"/>
  <c r="H78" i="29873"/>
  <c r="H134" i="29873"/>
  <c r="H127" i="29873"/>
  <c r="M70" i="29868"/>
  <c r="H147" i="29873"/>
  <c r="H214" i="29869"/>
  <c r="N214" i="29869" s="1"/>
  <c r="H118" i="29873"/>
  <c r="C26" i="29880"/>
  <c r="E26" i="29880" s="1"/>
  <c r="I73" i="29869"/>
  <c r="M73" i="29869" s="1"/>
  <c r="I13" i="29869" s="1"/>
  <c r="I201" i="29869"/>
  <c r="M201" i="29869" s="1"/>
  <c r="I141" i="29869" s="1"/>
  <c r="H69" i="29869"/>
  <c r="H142" i="29873"/>
  <c r="H117" i="29873"/>
  <c r="H154" i="29873"/>
  <c r="F168" i="29873"/>
  <c r="N185" i="29868"/>
  <c r="G168" i="29873"/>
  <c r="C36" i="29882"/>
  <c r="C39" i="29882" s="1"/>
  <c r="C42" i="29882" s="1"/>
  <c r="C44" i="29882" s="1"/>
  <c r="F137" i="29873"/>
  <c r="F143" i="29873"/>
  <c r="L46" i="29870"/>
  <c r="L49" i="29870" s="1"/>
  <c r="F16" i="29873"/>
  <c r="I88" i="29868"/>
  <c r="I76" i="29869"/>
  <c r="M76" i="29869" s="1"/>
  <c r="D46" i="29870"/>
  <c r="D49" i="29870" s="1"/>
  <c r="C15" i="29882"/>
  <c r="C17" i="29882" s="1"/>
  <c r="C28" i="29882" s="1"/>
  <c r="F88" i="29873"/>
  <c r="D33" i="29882"/>
  <c r="C33" i="29880"/>
  <c r="C34" i="29880" s="1"/>
  <c r="H183" i="29869"/>
  <c r="N183" i="29869" s="1"/>
  <c r="I180" i="29869"/>
  <c r="O180" i="29869" s="1"/>
  <c r="G232" i="29869"/>
  <c r="N68" i="29870"/>
  <c r="J19" i="29882"/>
  <c r="C22" i="29881" s="1"/>
  <c r="I20" i="29882"/>
  <c r="J20" i="29882" s="1"/>
  <c r="I112" i="29869"/>
  <c r="M112" i="29869" s="1"/>
  <c r="K22" i="29876"/>
  <c r="L22" i="29876" s="1"/>
  <c r="H57" i="29869"/>
  <c r="N57" i="29869" s="1"/>
  <c r="I48" i="29869"/>
  <c r="I51" i="29869" s="1"/>
  <c r="M88" i="29868"/>
  <c r="N70" i="29868"/>
  <c r="I70" i="29868"/>
  <c r="G22" i="29876"/>
  <c r="H22" i="29876" s="1"/>
  <c r="I181" i="29869"/>
  <c r="O181" i="29869" s="1"/>
  <c r="J20" i="29880"/>
  <c r="H21" i="29880"/>
  <c r="H28" i="29880" s="1"/>
  <c r="D15" i="29882"/>
  <c r="C15" i="29880"/>
  <c r="C17" i="29880" s="1"/>
  <c r="F233" i="29869"/>
  <c r="F243" i="29869" s="1"/>
  <c r="J14" i="29880"/>
  <c r="C21" i="29879" s="1"/>
  <c r="I15" i="29880"/>
  <c r="H156" i="29868"/>
  <c r="D35" i="29882"/>
  <c r="E35" i="29882" s="1"/>
  <c r="C35" i="29880"/>
  <c r="E35" i="29880" s="1"/>
  <c r="F22" i="29876"/>
  <c r="H199" i="29869"/>
  <c r="G224" i="29869"/>
  <c r="H204" i="29869"/>
  <c r="L204" i="29869" s="1"/>
  <c r="H66" i="29869"/>
  <c r="H50" i="29869"/>
  <c r="M22" i="29876"/>
  <c r="N22" i="29876" s="1"/>
  <c r="E47" i="29876"/>
  <c r="O47" i="29876" s="1"/>
  <c r="P47" i="29876" s="1"/>
  <c r="D17" i="29880"/>
  <c r="E179" i="29873"/>
  <c r="E183" i="29873" s="1"/>
  <c r="F68" i="29870"/>
  <c r="H89" i="29869"/>
  <c r="N89" i="29869" s="1"/>
  <c r="N88" i="29868"/>
  <c r="H106" i="29869"/>
  <c r="L106" i="29869" s="1"/>
  <c r="J19" i="29880"/>
  <c r="C22" i="29879" s="1"/>
  <c r="E19" i="29882"/>
  <c r="C29" i="29881" s="1"/>
  <c r="C36" i="29881" s="1"/>
  <c r="D26" i="29882"/>
  <c r="E26" i="29882" s="1"/>
  <c r="E13" i="29882"/>
  <c r="C16" i="29881" s="1"/>
  <c r="J14" i="29882"/>
  <c r="C21" i="29881" s="1"/>
  <c r="I15" i="29882"/>
  <c r="E37" i="29882"/>
  <c r="C11" i="29881"/>
  <c r="E48" i="29882"/>
  <c r="H44" i="29869"/>
  <c r="N44" i="29869" s="1"/>
  <c r="L28" i="29868"/>
  <c r="I225" i="29869"/>
  <c r="M225" i="29869" s="1"/>
  <c r="I139" i="29869" s="1"/>
  <c r="E63" i="29869"/>
  <c r="J54" i="29873"/>
  <c r="I170" i="29869"/>
  <c r="Q170" i="29869" s="1"/>
  <c r="I160" i="29869" s="1"/>
  <c r="F89" i="29873"/>
  <c r="H91" i="29873"/>
  <c r="H108" i="29869"/>
  <c r="I80" i="29869"/>
  <c r="M80" i="29869" s="1"/>
  <c r="F92" i="29873"/>
  <c r="H93" i="29869"/>
  <c r="N93" i="29869" s="1"/>
  <c r="N172" i="29869"/>
  <c r="I92" i="29869"/>
  <c r="J92" i="29869" s="1"/>
  <c r="K122" i="29869" s="1"/>
  <c r="L121" i="29869" s="1"/>
  <c r="F7" i="29869" s="1"/>
  <c r="I52" i="29869"/>
  <c r="O52" i="29869" s="1"/>
  <c r="H89" i="29873"/>
  <c r="H49" i="29869"/>
  <c r="L185" i="29868"/>
  <c r="H216" i="29869"/>
  <c r="P216" i="29869" s="1"/>
  <c r="H95" i="29873"/>
  <c r="H96" i="29873" s="1"/>
  <c r="L88" i="29868"/>
  <c r="M185" i="29868"/>
  <c r="H234" i="29869"/>
  <c r="L234" i="29869" s="1"/>
  <c r="G86" i="29873"/>
  <c r="H88" i="29873"/>
  <c r="F84" i="29869"/>
  <c r="F105" i="29869"/>
  <c r="F179" i="29873"/>
  <c r="F180" i="29873" s="1"/>
  <c r="F188" i="29873" s="1"/>
  <c r="F189" i="29873" s="1"/>
  <c r="I195" i="29869"/>
  <c r="I228" i="29869"/>
  <c r="M228" i="29869" s="1"/>
  <c r="E62" i="29878"/>
  <c r="G13" i="29878"/>
  <c r="H13" i="29878" s="1"/>
  <c r="R9" i="29876"/>
  <c r="S9" i="29876" s="1"/>
  <c r="R16" i="29876"/>
  <c r="S16" i="29876" s="1"/>
  <c r="H175" i="29869"/>
  <c r="I215" i="29869"/>
  <c r="O215" i="29869" s="1"/>
  <c r="G97" i="29873"/>
  <c r="E16" i="29873"/>
  <c r="J10" i="29873"/>
  <c r="G169" i="29873" s="1"/>
  <c r="M119" i="29868"/>
  <c r="K88" i="29868"/>
  <c r="F15" i="29873"/>
  <c r="K21" i="29876"/>
  <c r="L21" i="29876" s="1"/>
  <c r="G50" i="29868"/>
  <c r="H43" i="29868" s="1"/>
  <c r="H98" i="29869"/>
  <c r="L98" i="29869" s="1"/>
  <c r="G111" i="29869"/>
  <c r="H45" i="29869"/>
  <c r="N45" i="29869" s="1"/>
  <c r="F114" i="29869"/>
  <c r="G114" i="29869" s="1"/>
  <c r="E105" i="29869"/>
  <c r="E115" i="29869" s="1"/>
  <c r="I113" i="29869"/>
  <c r="I181" i="29868"/>
  <c r="I28" i="29868"/>
  <c r="H42" i="29869"/>
  <c r="P42" i="29869" s="1"/>
  <c r="F30" i="29869" s="1"/>
  <c r="H231" i="29869"/>
  <c r="L231" i="29869" s="1"/>
  <c r="H185" i="29869"/>
  <c r="N185" i="29869" s="1"/>
  <c r="I218" i="29869"/>
  <c r="O218" i="29869" s="1"/>
  <c r="H61" i="29869"/>
  <c r="N61" i="29869" s="1"/>
  <c r="H68" i="29869"/>
  <c r="H83" i="29869"/>
  <c r="L83" i="29869" s="1"/>
  <c r="F13" i="29869" s="1"/>
  <c r="E57" i="29873"/>
  <c r="I172" i="29869"/>
  <c r="O172" i="29869" s="1"/>
  <c r="J50" i="29868"/>
  <c r="K8" i="29868" s="1"/>
  <c r="I88" i="29869"/>
  <c r="Q88" i="29869" s="1"/>
  <c r="I30" i="29869" s="1"/>
  <c r="F75" i="29873"/>
  <c r="E56" i="29873"/>
  <c r="I101" i="29869"/>
  <c r="M101" i="29869" s="1"/>
  <c r="I240" i="29869"/>
  <c r="M240" i="29869" s="1"/>
  <c r="E191" i="29869"/>
  <c r="F73" i="29873"/>
  <c r="I102" i="29869"/>
  <c r="M102" i="29869" s="1"/>
  <c r="I110" i="29869"/>
  <c r="H226" i="29869"/>
  <c r="L226" i="29869" s="1"/>
  <c r="R17" i="29876"/>
  <c r="S17" i="29876" s="1"/>
  <c r="H193" i="29869"/>
  <c r="I36" i="29876"/>
  <c r="J36" i="29876" s="1"/>
  <c r="H206" i="29869"/>
  <c r="L206" i="29869" s="1"/>
  <c r="G239" i="29869"/>
  <c r="E212" i="29869"/>
  <c r="H64" i="29869"/>
  <c r="F74" i="29873"/>
  <c r="H182" i="29869"/>
  <c r="N182" i="29869" s="1"/>
  <c r="N28" i="29868"/>
  <c r="H177" i="29869"/>
  <c r="O14" i="29876"/>
  <c r="O13" i="29876" s="1"/>
  <c r="O10" i="29876" s="1"/>
  <c r="H227" i="29869"/>
  <c r="L227" i="29869" s="1"/>
  <c r="I55" i="29869"/>
  <c r="O55" i="29869" s="1"/>
  <c r="I192" i="29869"/>
  <c r="F56" i="29873"/>
  <c r="H79" i="29873"/>
  <c r="G70" i="29873"/>
  <c r="J76" i="29873" s="1"/>
  <c r="H71" i="29873"/>
  <c r="F91" i="29873"/>
  <c r="H73" i="29873"/>
  <c r="F95" i="29873"/>
  <c r="I91" i="29869"/>
  <c r="O91" i="29869" s="1"/>
  <c r="H238" i="29869"/>
  <c r="H54" i="29869"/>
  <c r="N54" i="29869" s="1"/>
  <c r="E93" i="29873"/>
  <c r="I93" i="29873" s="1"/>
  <c r="H178" i="29869"/>
  <c r="H208" i="29869"/>
  <c r="L208" i="29869" s="1"/>
  <c r="H56" i="29869"/>
  <c r="N56" i="29869" s="1"/>
  <c r="H43" i="29869"/>
  <c r="N43" i="29869" s="1"/>
  <c r="P206" i="29873"/>
  <c r="H70" i="29869"/>
  <c r="F212" i="29869"/>
  <c r="H76" i="29873"/>
  <c r="H74" i="29873"/>
  <c r="H47" i="29869"/>
  <c r="F87" i="29873"/>
  <c r="H9" i="29876"/>
  <c r="G14" i="29876"/>
  <c r="F94" i="29873"/>
  <c r="G72" i="29869"/>
  <c r="G57" i="29873"/>
  <c r="K54" i="29873"/>
  <c r="I179" i="29869"/>
  <c r="K14" i="29876"/>
  <c r="K13" i="29876" s="1"/>
  <c r="L9" i="29876"/>
  <c r="E233" i="29869"/>
  <c r="R12" i="29876"/>
  <c r="S12" i="29876" s="1"/>
  <c r="G46" i="29869"/>
  <c r="G179" i="29869"/>
  <c r="G104" i="29869"/>
  <c r="G51" i="29869"/>
  <c r="F8" i="29873"/>
  <c r="G140" i="29873" s="1"/>
  <c r="H75" i="29873"/>
  <c r="I111" i="29869"/>
  <c r="I114" i="29869" s="1"/>
  <c r="M14" i="29876"/>
  <c r="M13" i="29876" s="1"/>
  <c r="N9" i="29876"/>
  <c r="O36" i="29876"/>
  <c r="P36" i="29876" s="1"/>
  <c r="H79" i="29869"/>
  <c r="N79" i="29869" s="1"/>
  <c r="I187" i="29869"/>
  <c r="O187" i="29869" s="1"/>
  <c r="G96" i="29869"/>
  <c r="H198" i="29869"/>
  <c r="F63" i="29869"/>
  <c r="G179" i="29873"/>
  <c r="G180" i="29873" s="1"/>
  <c r="G188" i="29873" s="1"/>
  <c r="G189" i="29873" s="1"/>
  <c r="I59" i="29869"/>
  <c r="O59" i="29869" s="1"/>
  <c r="G242" i="29869"/>
  <c r="L49" i="29868"/>
  <c r="I202" i="29873"/>
  <c r="F29" i="29868"/>
  <c r="M118" i="29873"/>
  <c r="H237" i="29869"/>
  <c r="I37" i="29876"/>
  <c r="J37" i="29876" s="1"/>
  <c r="H23" i="29878"/>
  <c r="G16" i="29878"/>
  <c r="I23" i="29878"/>
  <c r="R11" i="29876"/>
  <c r="S11" i="29876" s="1"/>
  <c r="H103" i="29869"/>
  <c r="L103" i="29869" s="1"/>
  <c r="I53" i="29869"/>
  <c r="O53" i="29869" s="1"/>
  <c r="P207" i="29873"/>
  <c r="E207" i="29873"/>
  <c r="M207" i="29873"/>
  <c r="G36" i="29876"/>
  <c r="H36" i="29876" s="1"/>
  <c r="H217" i="29869"/>
  <c r="N217" i="29869" s="1"/>
  <c r="H235" i="29869"/>
  <c r="L235" i="29869" s="1"/>
  <c r="I87" i="29869"/>
  <c r="O87" i="29869" s="1"/>
  <c r="I80" i="29873"/>
  <c r="I94" i="29869"/>
  <c r="O94" i="29869" s="1"/>
  <c r="I186" i="29869"/>
  <c r="O186" i="29869" s="1"/>
  <c r="I173" i="29869"/>
  <c r="O173" i="29869" s="1"/>
  <c r="H71" i="29869"/>
  <c r="H222" i="29869"/>
  <c r="N222" i="29869" s="1"/>
  <c r="H74" i="29869"/>
  <c r="L74" i="29869" s="1"/>
  <c r="K36" i="29876"/>
  <c r="L36" i="29876" s="1"/>
  <c r="M36" i="29876"/>
  <c r="N36" i="29876" s="1"/>
  <c r="E202" i="29873"/>
  <c r="I184" i="29869"/>
  <c r="O184" i="29869" s="1"/>
  <c r="H241" i="29869"/>
  <c r="L241" i="29869" s="1"/>
  <c r="H77" i="29869"/>
  <c r="L77" i="29869" s="1"/>
  <c r="H209" i="29869"/>
  <c r="L209" i="29869" s="1"/>
  <c r="H67" i="29869"/>
  <c r="P202" i="29873"/>
  <c r="E7" i="29878"/>
  <c r="E54" i="29878"/>
  <c r="F8" i="29878"/>
  <c r="F54" i="29878" s="1"/>
  <c r="H54" i="29878" s="1"/>
  <c r="L21" i="29878"/>
  <c r="M21" i="29878"/>
  <c r="L19" i="29878"/>
  <c r="M19" i="29878"/>
  <c r="L20" i="29878"/>
  <c r="M20" i="29878"/>
  <c r="M17" i="29878"/>
  <c r="L17" i="29878"/>
  <c r="N57" i="29878"/>
  <c r="L12" i="29878"/>
  <c r="K12" i="29878" s="1"/>
  <c r="N55" i="29878"/>
  <c r="L10" i="29878"/>
  <c r="K10" i="29878" s="1"/>
  <c r="N56" i="29878"/>
  <c r="L11" i="29878"/>
  <c r="K11" i="29878" s="1"/>
  <c r="N65" i="29878"/>
  <c r="L9" i="29878"/>
  <c r="P58" i="29878"/>
  <c r="P14" i="29878" s="1"/>
  <c r="N14" i="29878"/>
  <c r="L18" i="29878"/>
  <c r="M6" i="29878"/>
  <c r="K61" i="29878"/>
  <c r="K13" i="29878" s="1"/>
  <c r="L13" i="29878" s="1"/>
  <c r="L22" i="29878"/>
  <c r="V8" i="29878"/>
  <c r="L6" i="29878"/>
  <c r="I194" i="29869"/>
  <c r="G174" i="29869"/>
  <c r="H81" i="29869"/>
  <c r="L81" i="29869" s="1"/>
  <c r="I221" i="29869"/>
  <c r="O221" i="29869" s="1"/>
  <c r="G62" i="29869"/>
  <c r="G8" i="29873"/>
  <c r="G11" i="29873" s="1"/>
  <c r="H219" i="29869"/>
  <c r="N219" i="29869" s="1"/>
  <c r="M28" i="29868"/>
  <c r="F111" i="29873"/>
  <c r="F146" i="29873"/>
  <c r="H146" i="29873" s="1"/>
  <c r="N156" i="29868"/>
  <c r="M37" i="29876"/>
  <c r="N37" i="29876" s="1"/>
  <c r="E15" i="29873"/>
  <c r="J7" i="29873"/>
  <c r="E8" i="29873"/>
  <c r="E9" i="29873" s="1"/>
  <c r="K44" i="29869"/>
  <c r="O44" i="29869" s="1"/>
  <c r="P117" i="29869"/>
  <c r="L113" i="29869"/>
  <c r="M113" i="29869"/>
  <c r="K45" i="29868"/>
  <c r="K48" i="29868"/>
  <c r="K26" i="29868"/>
  <c r="K7" i="29868"/>
  <c r="K21" i="29868"/>
  <c r="H48" i="29868"/>
  <c r="H21" i="29868"/>
  <c r="H26" i="29868"/>
  <c r="F48" i="29868"/>
  <c r="F21" i="29868"/>
  <c r="I21" i="29876"/>
  <c r="J21" i="29876" s="1"/>
  <c r="M21" i="29876"/>
  <c r="N21" i="29876" s="1"/>
  <c r="G21" i="29876"/>
  <c r="H21" i="29876" s="1"/>
  <c r="F21" i="29876"/>
  <c r="E46" i="29876"/>
  <c r="M46" i="29876" s="1"/>
  <c r="N46" i="29876" s="1"/>
  <c r="V66" i="29876"/>
  <c r="K10" i="29873"/>
  <c r="I169" i="29873" s="1"/>
  <c r="M169" i="29873" s="1"/>
  <c r="G61" i="29876"/>
  <c r="H61" i="29876" s="1"/>
  <c r="I171" i="29869"/>
  <c r="O171" i="29869" s="1"/>
  <c r="I99" i="29869"/>
  <c r="M99" i="29869" s="1"/>
  <c r="H205" i="29869"/>
  <c r="L205" i="29869" s="1"/>
  <c r="I189" i="29869"/>
  <c r="O189" i="29869" s="1"/>
  <c r="I97" i="29869"/>
  <c r="M97" i="29869" s="1"/>
  <c r="H58" i="29869"/>
  <c r="N58" i="29869" s="1"/>
  <c r="H223" i="29869"/>
  <c r="N223" i="29869" s="1"/>
  <c r="H197" i="29869"/>
  <c r="E70" i="29876"/>
  <c r="M70" i="29876" s="1"/>
  <c r="N70" i="29876" s="1"/>
  <c r="K37" i="29876"/>
  <c r="L37" i="29876" s="1"/>
  <c r="G37" i="29876"/>
  <c r="H37" i="29876" s="1"/>
  <c r="I168" i="29873"/>
  <c r="M168" i="29873" s="1"/>
  <c r="G16" i="29873"/>
  <c r="E206" i="29873"/>
  <c r="M206" i="29873"/>
  <c r="I138" i="29873"/>
  <c r="M138" i="29873" s="1"/>
  <c r="E26" i="29876"/>
  <c r="I143" i="29873"/>
  <c r="M143" i="29873" s="1"/>
  <c r="O37" i="29876"/>
  <c r="P37" i="29876" s="1"/>
  <c r="O61" i="29876"/>
  <c r="P61" i="29876" s="1"/>
  <c r="J132" i="29868"/>
  <c r="K61" i="29876"/>
  <c r="L61" i="29876" s="1"/>
  <c r="M61" i="29876"/>
  <c r="N61" i="29876" s="1"/>
  <c r="I61" i="29876"/>
  <c r="J61" i="29876" s="1"/>
  <c r="K7" i="29873"/>
  <c r="G15" i="29873"/>
  <c r="H75" i="29869"/>
  <c r="L75" i="29869" s="1"/>
  <c r="I75" i="29869"/>
  <c r="M75" i="29869" s="1"/>
  <c r="N181" i="29868"/>
  <c r="H90" i="29869"/>
  <c r="N90" i="29869" s="1"/>
  <c r="F35" i="29868"/>
  <c r="F25" i="29868"/>
  <c r="F19" i="29868"/>
  <c r="F20" i="29868"/>
  <c r="F13" i="29868"/>
  <c r="F8" i="29868"/>
  <c r="N64" i="29876"/>
  <c r="M64" i="29876" s="1"/>
  <c r="M68" i="29876" s="1"/>
  <c r="N68" i="29876" s="1"/>
  <c r="N40" i="29876"/>
  <c r="K71" i="29876"/>
  <c r="L71" i="29876" s="1"/>
  <c r="I71" i="29876"/>
  <c r="J71" i="29876" s="1"/>
  <c r="E67" i="29876"/>
  <c r="F67" i="29876" s="1"/>
  <c r="V67" i="29876"/>
  <c r="E66" i="29876"/>
  <c r="F66" i="29876" s="1"/>
  <c r="V60" i="29876"/>
  <c r="L15" i="29876"/>
  <c r="K19" i="29876"/>
  <c r="J15" i="29876"/>
  <c r="I19" i="29876"/>
  <c r="P15" i="29876"/>
  <c r="O19" i="29876"/>
  <c r="G19" i="29876"/>
  <c r="R15" i="29876"/>
  <c r="S15" i="29876" s="1"/>
  <c r="H15" i="29876"/>
  <c r="R18" i="29876"/>
  <c r="S18" i="29876" s="1"/>
  <c r="F44" i="29868"/>
  <c r="F40" i="29868"/>
  <c r="F38" i="29868"/>
  <c r="F23" i="29868"/>
  <c r="F43" i="29868"/>
  <c r="F41" i="29868"/>
  <c r="F36" i="29868"/>
  <c r="F32" i="29868"/>
  <c r="F22" i="29868"/>
  <c r="F46" i="29868"/>
  <c r="F47" i="29868"/>
  <c r="K23" i="29868"/>
  <c r="K22" i="29868"/>
  <c r="I79" i="29868"/>
  <c r="H24" i="29868"/>
  <c r="I119" i="29868"/>
  <c r="F119" i="29868"/>
  <c r="F156" i="29868"/>
  <c r="I156" i="29868"/>
  <c r="I49" i="29868"/>
  <c r="H123" i="29868"/>
  <c r="G80" i="29868"/>
  <c r="I19" i="29883"/>
  <c r="F130" i="29873"/>
  <c r="F156" i="29873"/>
  <c r="F122" i="29873"/>
  <c r="E43" i="29873"/>
  <c r="F157" i="29873"/>
  <c r="G43" i="29873"/>
  <c r="F116" i="29873"/>
  <c r="H116" i="29873" s="1"/>
  <c r="F151" i="29873"/>
  <c r="F150" i="29873"/>
  <c r="M49" i="29868"/>
  <c r="K46" i="29868"/>
  <c r="M139" i="29873"/>
  <c r="K55" i="29868"/>
  <c r="K63" i="29868"/>
  <c r="K61" i="29868"/>
  <c r="G28" i="29873" s="1"/>
  <c r="K73" i="29868"/>
  <c r="K76" i="29868"/>
  <c r="K59" i="29868"/>
  <c r="K57" i="29868"/>
  <c r="K69" i="29868"/>
  <c r="G29" i="29873" s="1"/>
  <c r="K75" i="29868"/>
  <c r="K62" i="29868"/>
  <c r="K54" i="29868"/>
  <c r="K71" i="29868"/>
  <c r="K58" i="29868"/>
  <c r="I13" i="29876"/>
  <c r="I10" i="29876" s="1"/>
  <c r="I26" i="29876" s="1"/>
  <c r="J26" i="29876" s="1"/>
  <c r="L181" i="29868"/>
  <c r="G150" i="29873"/>
  <c r="G151" i="29873"/>
  <c r="G137" i="29873"/>
  <c r="J137" i="29873" s="1"/>
  <c r="G143" i="29873"/>
  <c r="G138" i="29873"/>
  <c r="M181" i="29868"/>
  <c r="D20" i="29870"/>
  <c r="M156" i="29868"/>
  <c r="G130" i="29873"/>
  <c r="L156" i="29868"/>
  <c r="N119" i="29868"/>
  <c r="K119" i="29868"/>
  <c r="L119" i="29868"/>
  <c r="G156" i="29873"/>
  <c r="F43" i="29873"/>
  <c r="G122" i="29873"/>
  <c r="J122" i="29873" s="1"/>
  <c r="G157" i="29873"/>
  <c r="L79" i="29868"/>
  <c r="M79" i="29868"/>
  <c r="M137" i="29873"/>
  <c r="L123" i="29868"/>
  <c r="M123" i="29868"/>
  <c r="N49" i="29868"/>
  <c r="I116" i="29873"/>
  <c r="I150" i="29873"/>
  <c r="I151" i="29873"/>
  <c r="M122" i="29873"/>
  <c r="O92" i="29873"/>
  <c r="A83" i="29873"/>
  <c r="AC74" i="29873"/>
  <c r="G210" i="29869"/>
  <c r="O79" i="29869"/>
  <c r="M235" i="29869"/>
  <c r="N87" i="29869"/>
  <c r="N52" i="29869"/>
  <c r="I202" i="29869"/>
  <c r="H202" i="29869"/>
  <c r="L225" i="29869"/>
  <c r="F139" i="29869" s="1"/>
  <c r="N184" i="29869"/>
  <c r="O45" i="29869"/>
  <c r="I46" i="29869"/>
  <c r="Q216" i="29869"/>
  <c r="N173" i="29869"/>
  <c r="H174" i="29869"/>
  <c r="L97" i="29869"/>
  <c r="F11" i="29869" s="1"/>
  <c r="I96" i="29873"/>
  <c r="I72" i="29869"/>
  <c r="V43" i="29876"/>
  <c r="V42" i="29876"/>
  <c r="V41" i="29876"/>
  <c r="E41" i="29876"/>
  <c r="E42" i="29876"/>
  <c r="F42" i="29876" s="1"/>
  <c r="L17" i="29876"/>
  <c r="P18" i="29876"/>
  <c r="J18" i="29876"/>
  <c r="F19" i="29876"/>
  <c r="E43" i="29876"/>
  <c r="F43" i="29876" s="1"/>
  <c r="L18" i="29876"/>
  <c r="N18" i="29876"/>
  <c r="H18" i="29876"/>
  <c r="K44" i="29868" l="1"/>
  <c r="K43" i="29868"/>
  <c r="I11" i="29869"/>
  <c r="E85" i="29869"/>
  <c r="G84" i="29869"/>
  <c r="F77" i="29873"/>
  <c r="F81" i="29873" s="1"/>
  <c r="J139" i="29873"/>
  <c r="G191" i="29869"/>
  <c r="J57" i="29873"/>
  <c r="H111" i="29873"/>
  <c r="I242" i="29869"/>
  <c r="J55" i="29873"/>
  <c r="M71" i="29876"/>
  <c r="N71" i="29876" s="1"/>
  <c r="F47" i="29876"/>
  <c r="S11" i="29878"/>
  <c r="F71" i="29876"/>
  <c r="M47" i="29876"/>
  <c r="N47" i="29876" s="1"/>
  <c r="O71" i="29876"/>
  <c r="P71" i="29876" s="1"/>
  <c r="G47" i="29876"/>
  <c r="H47" i="29876" s="1"/>
  <c r="J90" i="29873"/>
  <c r="M90" i="29873" s="1"/>
  <c r="G58" i="29873"/>
  <c r="G59" i="29873" s="1"/>
  <c r="K55" i="29873"/>
  <c r="G233" i="29869"/>
  <c r="K41" i="29868"/>
  <c r="K56" i="29873"/>
  <c r="F115" i="29869"/>
  <c r="G115" i="29869" s="1"/>
  <c r="G110" i="29873"/>
  <c r="H46" i="29868"/>
  <c r="H44" i="29868"/>
  <c r="H19" i="29868"/>
  <c r="H23" i="29868"/>
  <c r="H22" i="29868"/>
  <c r="H20" i="29868"/>
  <c r="H13" i="29868"/>
  <c r="I81" i="29873"/>
  <c r="AB69" i="29873" s="1"/>
  <c r="I232" i="29869"/>
  <c r="F152" i="29873"/>
  <c r="K80" i="29868"/>
  <c r="G31" i="29873" s="1"/>
  <c r="F150" i="29869"/>
  <c r="S24" i="29883"/>
  <c r="S26" i="29883"/>
  <c r="K57" i="29873"/>
  <c r="N80" i="29868"/>
  <c r="N19" i="29883"/>
  <c r="I24" i="29883"/>
  <c r="I26" i="29883"/>
  <c r="Q124" i="29869"/>
  <c r="C28" i="29880"/>
  <c r="K39" i="29868"/>
  <c r="J111" i="29873"/>
  <c r="H40" i="29868"/>
  <c r="F213" i="29869"/>
  <c r="H42" i="29868"/>
  <c r="H39" i="29868"/>
  <c r="G109" i="29873"/>
  <c r="H41" i="29868"/>
  <c r="J115" i="29873"/>
  <c r="E15" i="29880"/>
  <c r="C17" i="29879" s="1"/>
  <c r="K30" i="29868"/>
  <c r="H111" i="29869"/>
  <c r="H114" i="29869" s="1"/>
  <c r="M115" i="29873"/>
  <c r="I147" i="29869"/>
  <c r="I109" i="29873"/>
  <c r="M109" i="29873" s="1"/>
  <c r="K36" i="29868"/>
  <c r="K35" i="29868"/>
  <c r="K42" i="29868"/>
  <c r="E180" i="29873"/>
  <c r="E188" i="29873" s="1"/>
  <c r="E189" i="29873" s="1"/>
  <c r="E15" i="29882"/>
  <c r="C17" i="29881" s="1"/>
  <c r="I110" i="29873"/>
  <c r="M110" i="29873" s="1"/>
  <c r="K33" i="29868"/>
  <c r="K38" i="29868"/>
  <c r="O70" i="29876"/>
  <c r="P70" i="29876" s="1"/>
  <c r="K20" i="29868"/>
  <c r="F34" i="29868"/>
  <c r="H93" i="29873"/>
  <c r="H97" i="29873" s="1"/>
  <c r="I14" i="29869"/>
  <c r="F93" i="29873"/>
  <c r="F140" i="29873"/>
  <c r="R22" i="29876"/>
  <c r="S22" i="29876" s="1"/>
  <c r="K47" i="29876"/>
  <c r="L47" i="29876" s="1"/>
  <c r="I47" i="29876"/>
  <c r="J47" i="29876" s="1"/>
  <c r="F46" i="29876"/>
  <c r="J91" i="29873"/>
  <c r="M91" i="29873" s="1"/>
  <c r="J92" i="29873"/>
  <c r="L92" i="29873" s="1"/>
  <c r="J89" i="29873"/>
  <c r="M89" i="29873" s="1"/>
  <c r="J88" i="29873"/>
  <c r="M88" i="29873" s="1"/>
  <c r="J95" i="29873"/>
  <c r="L95" i="29873" s="1"/>
  <c r="J168" i="29873"/>
  <c r="J146" i="29873"/>
  <c r="K32" i="29868"/>
  <c r="K37" i="29868"/>
  <c r="K49" i="29868"/>
  <c r="G27" i="29873" s="1"/>
  <c r="K47" i="29868"/>
  <c r="K25" i="29868"/>
  <c r="K40" i="29868"/>
  <c r="K19" i="29868"/>
  <c r="K14" i="29868"/>
  <c r="K29" i="29868"/>
  <c r="K34" i="29868"/>
  <c r="K31" i="29868"/>
  <c r="K13" i="29868"/>
  <c r="K17" i="29868"/>
  <c r="K27" i="29868"/>
  <c r="K18" i="29868"/>
  <c r="K16" i="29868"/>
  <c r="K15" i="29868"/>
  <c r="K12" i="29868"/>
  <c r="K9" i="29868"/>
  <c r="J81" i="29868"/>
  <c r="K10" i="29868"/>
  <c r="I141" i="29873"/>
  <c r="M141" i="29873" s="1"/>
  <c r="I70" i="29873"/>
  <c r="J56" i="29873"/>
  <c r="F58" i="29873"/>
  <c r="F96" i="29873"/>
  <c r="H77" i="29873"/>
  <c r="H80" i="29873"/>
  <c r="H168" i="29873"/>
  <c r="H239" i="29869"/>
  <c r="H242" i="29869" s="1"/>
  <c r="F135" i="29869"/>
  <c r="I82" i="29869"/>
  <c r="I84" i="29869" s="1"/>
  <c r="H16" i="29868"/>
  <c r="H47" i="29868"/>
  <c r="H33" i="29868"/>
  <c r="H34" i="29868"/>
  <c r="H38" i="29868"/>
  <c r="H35" i="29868"/>
  <c r="H17" i="29868"/>
  <c r="H36" i="29868"/>
  <c r="H32" i="29868"/>
  <c r="H18" i="29868"/>
  <c r="H37" i="29868"/>
  <c r="G87" i="29868"/>
  <c r="H87" i="29868" s="1"/>
  <c r="H12" i="29868"/>
  <c r="H25" i="29868"/>
  <c r="H6" i="29868"/>
  <c r="H15" i="29868"/>
  <c r="H31" i="29868"/>
  <c r="H27" i="29868"/>
  <c r="H9" i="29868"/>
  <c r="H30" i="29868"/>
  <c r="H29" i="29868"/>
  <c r="G141" i="29873"/>
  <c r="H14" i="29868"/>
  <c r="H49" i="29868"/>
  <c r="F27" i="29873" s="1"/>
  <c r="H11" i="29868"/>
  <c r="H10" i="29868"/>
  <c r="I140" i="29873"/>
  <c r="J140" i="29873" s="1"/>
  <c r="J169" i="29873"/>
  <c r="H140" i="29873"/>
  <c r="H137" i="29873"/>
  <c r="H157" i="29873"/>
  <c r="E190" i="29873"/>
  <c r="F190" i="29873"/>
  <c r="F183" i="29873"/>
  <c r="G105" i="29869"/>
  <c r="F42" i="29868"/>
  <c r="F9" i="29868"/>
  <c r="F39" i="29868"/>
  <c r="F33" i="29868"/>
  <c r="F27" i="29868"/>
  <c r="F14" i="29868"/>
  <c r="F37" i="29868"/>
  <c r="F17" i="29868"/>
  <c r="F16" i="29868"/>
  <c r="F31" i="29868"/>
  <c r="F18" i="29868"/>
  <c r="F15" i="29868"/>
  <c r="F49" i="29868"/>
  <c r="E27" i="29873" s="1"/>
  <c r="F30" i="29868"/>
  <c r="F12" i="29868"/>
  <c r="F6" i="29868"/>
  <c r="F10" i="29868"/>
  <c r="F11" i="29868"/>
  <c r="F28" i="29868"/>
  <c r="J71" i="29873"/>
  <c r="M71" i="29873" s="1"/>
  <c r="D17" i="29882"/>
  <c r="C36" i="29880"/>
  <c r="C39" i="29880" s="1"/>
  <c r="C42" i="29880" s="1"/>
  <c r="C44" i="29880" s="1"/>
  <c r="D28" i="29880"/>
  <c r="E17" i="29880"/>
  <c r="I21" i="29880"/>
  <c r="J15" i="29880"/>
  <c r="H200" i="29869"/>
  <c r="H51" i="29869"/>
  <c r="O51" i="29869" s="1"/>
  <c r="I23" i="29869" s="1"/>
  <c r="E33" i="29882"/>
  <c r="D34" i="29882"/>
  <c r="I21" i="29869"/>
  <c r="I21" i="29882"/>
  <c r="J15" i="29882"/>
  <c r="H28" i="29868"/>
  <c r="F26" i="29873" s="1"/>
  <c r="H8" i="29868"/>
  <c r="E97" i="29873"/>
  <c r="I97" i="29873" s="1"/>
  <c r="AC69" i="29873" s="1"/>
  <c r="J87" i="29868"/>
  <c r="K87" i="29868" s="1"/>
  <c r="K11" i="29868"/>
  <c r="K28" i="29868"/>
  <c r="G26" i="29873" s="1"/>
  <c r="L50" i="29868"/>
  <c r="K6" i="29868"/>
  <c r="M50" i="29868"/>
  <c r="M76" i="29873"/>
  <c r="L76" i="29873"/>
  <c r="J136" i="29868"/>
  <c r="H179" i="29869"/>
  <c r="O179" i="29869" s="1"/>
  <c r="I151" i="29869" s="1"/>
  <c r="J74" i="29873"/>
  <c r="L74" i="29873" s="1"/>
  <c r="E58" i="29873"/>
  <c r="E59" i="29873" s="1"/>
  <c r="F147" i="29869"/>
  <c r="E124" i="29869"/>
  <c r="F85" i="29869"/>
  <c r="G9" i="29873"/>
  <c r="M203" i="29873" s="1"/>
  <c r="M204" i="29873" s="1"/>
  <c r="M205" i="29873" s="1"/>
  <c r="M211" i="29873" s="1"/>
  <c r="M212" i="29873" s="1"/>
  <c r="G190" i="29873"/>
  <c r="G183" i="29873"/>
  <c r="R21" i="29876"/>
  <c r="S21" i="29876" s="1"/>
  <c r="H46" i="29869"/>
  <c r="G63" i="29869"/>
  <c r="I50" i="29868"/>
  <c r="E87" i="29868"/>
  <c r="J8" i="29873"/>
  <c r="H96" i="29869"/>
  <c r="P13" i="29876"/>
  <c r="E213" i="29869"/>
  <c r="J87" i="29873"/>
  <c r="L87" i="29873" s="1"/>
  <c r="I150" i="29869"/>
  <c r="R14" i="29876"/>
  <c r="S14" i="29876" s="1"/>
  <c r="F19" i="29869"/>
  <c r="F142" i="29869"/>
  <c r="G212" i="29869"/>
  <c r="P10" i="29876"/>
  <c r="P59" i="29876" s="1"/>
  <c r="O59" i="29876" s="1"/>
  <c r="O62" i="29876" s="1"/>
  <c r="O26" i="29876"/>
  <c r="P26" i="29876" s="1"/>
  <c r="O25" i="29876" s="1"/>
  <c r="P25" i="29876" s="1"/>
  <c r="I96" i="29869"/>
  <c r="H232" i="29869"/>
  <c r="I142" i="29869"/>
  <c r="H104" i="29869"/>
  <c r="G70" i="29876"/>
  <c r="H70" i="29876" s="1"/>
  <c r="I148" i="29869"/>
  <c r="I174" i="29869"/>
  <c r="I22" i="29869"/>
  <c r="H72" i="29869"/>
  <c r="L72" i="29869" s="1"/>
  <c r="I200" i="29869"/>
  <c r="I224" i="29869"/>
  <c r="H62" i="29869"/>
  <c r="H190" i="29869"/>
  <c r="N50" i="29868"/>
  <c r="I70" i="29876"/>
  <c r="J70" i="29876" s="1"/>
  <c r="F152" i="29869"/>
  <c r="J13" i="29876"/>
  <c r="K70" i="29876"/>
  <c r="L70" i="29876" s="1"/>
  <c r="F9" i="29873"/>
  <c r="F12" i="29873" s="1"/>
  <c r="G13" i="29876"/>
  <c r="J79" i="29873"/>
  <c r="E86" i="29873"/>
  <c r="I86" i="29873" s="1"/>
  <c r="J75" i="29873"/>
  <c r="J72" i="29873"/>
  <c r="J78" i="29873"/>
  <c r="J73" i="29873"/>
  <c r="J94" i="29873"/>
  <c r="J96" i="29873" s="1"/>
  <c r="H82" i="29869"/>
  <c r="K8" i="29873"/>
  <c r="F11" i="29873"/>
  <c r="K11" i="29873" s="1"/>
  <c r="M10" i="29876"/>
  <c r="N13" i="29876"/>
  <c r="I104" i="29869"/>
  <c r="E243" i="29869"/>
  <c r="G243" i="29869" s="1"/>
  <c r="F70" i="29876"/>
  <c r="F23" i="29869"/>
  <c r="F151" i="29869"/>
  <c r="F14" i="29869"/>
  <c r="L13" i="29876"/>
  <c r="K10" i="29876"/>
  <c r="S10" i="29878"/>
  <c r="E15" i="29878"/>
  <c r="F7" i="29878"/>
  <c r="I25" i="29876"/>
  <c r="J25" i="29876" s="1"/>
  <c r="I62" i="29869"/>
  <c r="I63" i="29869" s="1"/>
  <c r="I149" i="29869"/>
  <c r="H210" i="29869"/>
  <c r="L202" i="29869"/>
  <c r="E11" i="29873"/>
  <c r="I46" i="29876"/>
  <c r="J46" i="29876" s="1"/>
  <c r="O46" i="29876"/>
  <c r="P46" i="29876" s="1"/>
  <c r="H16" i="29878"/>
  <c r="T11" i="29878"/>
  <c r="H224" i="29869"/>
  <c r="I190" i="29869"/>
  <c r="G46" i="29876"/>
  <c r="H46" i="29876" s="1"/>
  <c r="K46" i="29876"/>
  <c r="L46" i="29876" s="1"/>
  <c r="V36" i="29876"/>
  <c r="I210" i="29869"/>
  <c r="M202" i="29869"/>
  <c r="J54" i="29878"/>
  <c r="H8" i="29878"/>
  <c r="G8" i="29878" s="1"/>
  <c r="G7" i="29878" s="1"/>
  <c r="T10" i="29878" s="1"/>
  <c r="I12" i="29869"/>
  <c r="F12" i="29869"/>
  <c r="J23" i="29878"/>
  <c r="I16" i="29878"/>
  <c r="K23" i="29878"/>
  <c r="M61" i="29878"/>
  <c r="M13" i="29878" s="1"/>
  <c r="N13" i="29878" s="1"/>
  <c r="N22" i="29878"/>
  <c r="W8" i="29878"/>
  <c r="O6" i="29878"/>
  <c r="N18" i="29878"/>
  <c r="N6" i="29878"/>
  <c r="P65" i="29878"/>
  <c r="P9" i="29878" s="1"/>
  <c r="N9" i="29878"/>
  <c r="P56" i="29878"/>
  <c r="P11" i="29878" s="1"/>
  <c r="N11" i="29878"/>
  <c r="M11" i="29878" s="1"/>
  <c r="P55" i="29878"/>
  <c r="P10" i="29878" s="1"/>
  <c r="N10" i="29878"/>
  <c r="M10" i="29878" s="1"/>
  <c r="P57" i="29878"/>
  <c r="P12" i="29878" s="1"/>
  <c r="N12" i="29878"/>
  <c r="M12" i="29878" s="1"/>
  <c r="O12" i="29878" s="1"/>
  <c r="N20" i="29878"/>
  <c r="O20" i="29878"/>
  <c r="N19" i="29878"/>
  <c r="O19" i="29878"/>
  <c r="N21" i="29878"/>
  <c r="O21" i="29878"/>
  <c r="O17" i="29878"/>
  <c r="N17" i="29878"/>
  <c r="F78" i="29868"/>
  <c r="F83" i="29868"/>
  <c r="H151" i="29873"/>
  <c r="I20" i="29869"/>
  <c r="H122" i="29873"/>
  <c r="F32" i="29869"/>
  <c r="P124" i="29869"/>
  <c r="H72" i="29868"/>
  <c r="H78" i="29868"/>
  <c r="F74" i="29868"/>
  <c r="F72" i="29868"/>
  <c r="V61" i="29876"/>
  <c r="V37" i="29876"/>
  <c r="J157" i="29873"/>
  <c r="R19" i="29876"/>
  <c r="S19" i="29876" s="1"/>
  <c r="H66" i="29868"/>
  <c r="H74" i="29868"/>
  <c r="F56" i="29868"/>
  <c r="F60" i="29868"/>
  <c r="F52" i="29868"/>
  <c r="F55" i="29868"/>
  <c r="F66" i="29868"/>
  <c r="F51" i="29868"/>
  <c r="E81" i="29868"/>
  <c r="F65" i="29868"/>
  <c r="H60" i="29868"/>
  <c r="H65" i="29868"/>
  <c r="H79" i="29868"/>
  <c r="F30" i="29873" s="1"/>
  <c r="H56" i="29868"/>
  <c r="H51" i="29868"/>
  <c r="H52" i="29868"/>
  <c r="H64" i="29876"/>
  <c r="G64" i="29876" s="1"/>
  <c r="H40" i="29876"/>
  <c r="P64" i="29876"/>
  <c r="O64" i="29876" s="1"/>
  <c r="O68" i="29876" s="1"/>
  <c r="P68" i="29876" s="1"/>
  <c r="P40" i="29876"/>
  <c r="J64" i="29876"/>
  <c r="I64" i="29876" s="1"/>
  <c r="I68" i="29876" s="1"/>
  <c r="J68" i="29876" s="1"/>
  <c r="J40" i="29876"/>
  <c r="L64" i="29876"/>
  <c r="K64" i="29876" s="1"/>
  <c r="L40" i="29876"/>
  <c r="E52" i="29876"/>
  <c r="F41" i="29876"/>
  <c r="H62" i="29868"/>
  <c r="H59" i="29868"/>
  <c r="H57" i="29868"/>
  <c r="H55" i="29868"/>
  <c r="H53" i="29868"/>
  <c r="H75" i="29868"/>
  <c r="H73" i="29868"/>
  <c r="H71" i="29868"/>
  <c r="H69" i="29868"/>
  <c r="F29" i="29873" s="1"/>
  <c r="H63" i="29868"/>
  <c r="H58" i="29868"/>
  <c r="H54" i="29868"/>
  <c r="H88" i="29868"/>
  <c r="H70" i="29868"/>
  <c r="H76" i="29868"/>
  <c r="H61" i="29868"/>
  <c r="F28" i="29873" s="1"/>
  <c r="I123" i="29868"/>
  <c r="F123" i="29868"/>
  <c r="F79" i="29868"/>
  <c r="E30" i="29873" s="1"/>
  <c r="F75" i="29868"/>
  <c r="F73" i="29868"/>
  <c r="F71" i="29868"/>
  <c r="F63" i="29868"/>
  <c r="F58" i="29868"/>
  <c r="F54" i="29868"/>
  <c r="I80" i="29868"/>
  <c r="F69" i="29868"/>
  <c r="E29" i="29873" s="1"/>
  <c r="F62" i="29868"/>
  <c r="F59" i="29868"/>
  <c r="F57" i="29868"/>
  <c r="F53" i="29868"/>
  <c r="F88" i="29868"/>
  <c r="F61" i="29868"/>
  <c r="E28" i="29873" s="1"/>
  <c r="F70" i="29868"/>
  <c r="F76" i="29868"/>
  <c r="H132" i="29868"/>
  <c r="G81" i="29868"/>
  <c r="J151" i="29873"/>
  <c r="M151" i="29873"/>
  <c r="M116" i="29873"/>
  <c r="J116" i="29873"/>
  <c r="H156" i="29873"/>
  <c r="J156" i="29873"/>
  <c r="N123" i="29868"/>
  <c r="K123" i="29868"/>
  <c r="J138" i="29873"/>
  <c r="H138" i="29873"/>
  <c r="G152" i="29873"/>
  <c r="J152" i="29873" s="1"/>
  <c r="H150" i="29873"/>
  <c r="L80" i="29868"/>
  <c r="M80" i="29868"/>
  <c r="J150" i="29873"/>
  <c r="M150" i="29873"/>
  <c r="L132" i="29868"/>
  <c r="M132" i="29868"/>
  <c r="J130" i="29873"/>
  <c r="H130" i="29873"/>
  <c r="H143" i="29873"/>
  <c r="J143" i="29873"/>
  <c r="F109" i="29873"/>
  <c r="H109" i="29873" s="1"/>
  <c r="F141" i="29873"/>
  <c r="F110" i="29873"/>
  <c r="F167" i="29873"/>
  <c r="E12" i="29873"/>
  <c r="F165" i="29873" s="1"/>
  <c r="F153" i="29869"/>
  <c r="I158" i="29869"/>
  <c r="Q252" i="29869"/>
  <c r="I25" i="29869"/>
  <c r="F149" i="29869"/>
  <c r="I152" i="29869"/>
  <c r="F24" i="29869"/>
  <c r="I153" i="29869"/>
  <c r="F159" i="29869"/>
  <c r="P252" i="29869"/>
  <c r="F25" i="29869"/>
  <c r="F21" i="29869"/>
  <c r="I24" i="29869"/>
  <c r="F22" i="29869"/>
  <c r="I19" i="29869"/>
  <c r="J10" i="29876"/>
  <c r="N19" i="29876"/>
  <c r="M20" i="29876"/>
  <c r="L19" i="29876"/>
  <c r="K20" i="29876"/>
  <c r="H19" i="29876"/>
  <c r="G20" i="29876"/>
  <c r="G23" i="29876" s="1"/>
  <c r="H23" i="29876" s="1"/>
  <c r="I20" i="29876"/>
  <c r="J19" i="29876"/>
  <c r="P19" i="29876"/>
  <c r="O20" i="29876"/>
  <c r="G85" i="29869" l="1"/>
  <c r="G213" i="29869"/>
  <c r="P21" i="29878"/>
  <c r="M92" i="29873"/>
  <c r="R95" i="29873" s="1"/>
  <c r="O95" i="29873" s="1"/>
  <c r="P20" i="29878"/>
  <c r="L89" i="29873"/>
  <c r="K58" i="29873"/>
  <c r="L90" i="29873"/>
  <c r="J110" i="29873"/>
  <c r="H110" i="29873"/>
  <c r="L91" i="29873"/>
  <c r="I233" i="29869"/>
  <c r="I243" i="29869" s="1"/>
  <c r="E28" i="29880"/>
  <c r="I203" i="29873"/>
  <c r="I204" i="29873" s="1"/>
  <c r="I213" i="29873" s="1"/>
  <c r="P203" i="29873"/>
  <c r="P204" i="29873" s="1"/>
  <c r="P213" i="29873" s="1"/>
  <c r="I105" i="29869"/>
  <c r="I115" i="29869" s="1"/>
  <c r="L71" i="29873"/>
  <c r="M95" i="29873"/>
  <c r="N24" i="29883"/>
  <c r="N26" i="29883"/>
  <c r="F97" i="29873"/>
  <c r="J109" i="29873"/>
  <c r="N179" i="29869"/>
  <c r="F148" i="29869" s="1"/>
  <c r="F50" i="29868"/>
  <c r="O10" i="29878"/>
  <c r="I167" i="29873"/>
  <c r="M167" i="29873" s="1"/>
  <c r="L88" i="29873"/>
  <c r="L93" i="29873" s="1"/>
  <c r="P19" i="29878"/>
  <c r="O11" i="29878"/>
  <c r="E203" i="29873"/>
  <c r="E204" i="29873" s="1"/>
  <c r="E205" i="29873" s="1"/>
  <c r="E211" i="29873" s="1"/>
  <c r="E212" i="29873" s="1"/>
  <c r="M140" i="29873"/>
  <c r="J141" i="29873"/>
  <c r="K50" i="29868"/>
  <c r="J58" i="29873"/>
  <c r="F59" i="29873"/>
  <c r="H81" i="29873"/>
  <c r="G167" i="29873"/>
  <c r="I87" i="29868"/>
  <c r="H141" i="29873"/>
  <c r="L200" i="29869"/>
  <c r="F138" i="29869" s="1"/>
  <c r="I212" i="29869"/>
  <c r="H212" i="29869"/>
  <c r="N51" i="29869"/>
  <c r="F20" i="29869" s="1"/>
  <c r="K9" i="29873"/>
  <c r="F13" i="29873"/>
  <c r="F14" i="29873" s="1"/>
  <c r="G166" i="29873" s="1"/>
  <c r="G165" i="29873"/>
  <c r="G12" i="29873"/>
  <c r="I165" i="29873" s="1"/>
  <c r="M165" i="29873" s="1"/>
  <c r="J9" i="29873"/>
  <c r="M72" i="29869"/>
  <c r="I10" i="29869" s="1"/>
  <c r="O124" i="29869"/>
  <c r="J77" i="29873"/>
  <c r="D36" i="29882"/>
  <c r="E34" i="29882"/>
  <c r="F87" i="29868"/>
  <c r="M74" i="29873"/>
  <c r="I28" i="29882"/>
  <c r="J28" i="29882" s="1"/>
  <c r="J21" i="29882"/>
  <c r="J21" i="29880"/>
  <c r="I28" i="29880"/>
  <c r="J28" i="29880" s="1"/>
  <c r="E17" i="29882"/>
  <c r="D28" i="29882"/>
  <c r="E28" i="29882" s="1"/>
  <c r="H63" i="29869"/>
  <c r="J137" i="29868"/>
  <c r="D33" i="29880"/>
  <c r="N87" i="29868"/>
  <c r="L87" i="29868"/>
  <c r="H50" i="29868"/>
  <c r="H191" i="29869"/>
  <c r="P62" i="29876"/>
  <c r="O63" i="29876"/>
  <c r="P63" i="29876" s="1"/>
  <c r="I191" i="29869"/>
  <c r="M200" i="29869"/>
  <c r="I138" i="29869" s="1"/>
  <c r="H233" i="29869"/>
  <c r="H243" i="29869" s="1"/>
  <c r="P35" i="29876"/>
  <c r="M87" i="29873"/>
  <c r="M93" i="29873" s="1"/>
  <c r="J11" i="29873"/>
  <c r="I85" i="29869"/>
  <c r="J93" i="29873"/>
  <c r="J97" i="29873" s="1"/>
  <c r="H105" i="29869"/>
  <c r="H115" i="29869" s="1"/>
  <c r="M208" i="29873"/>
  <c r="H84" i="29869"/>
  <c r="M75" i="29873"/>
  <c r="L75" i="29873"/>
  <c r="M213" i="29873"/>
  <c r="M26" i="29876"/>
  <c r="N26" i="29876" s="1"/>
  <c r="M25" i="29876" s="1"/>
  <c r="N25" i="29876" s="1"/>
  <c r="N10" i="29876"/>
  <c r="L78" i="29873"/>
  <c r="M78" i="29873"/>
  <c r="J80" i="29873"/>
  <c r="M79" i="29873"/>
  <c r="L79" i="29873"/>
  <c r="L94" i="29873"/>
  <c r="L96" i="29873" s="1"/>
  <c r="M94" i="29873"/>
  <c r="O252" i="29869"/>
  <c r="L73" i="29873"/>
  <c r="M73" i="29873"/>
  <c r="L10" i="29876"/>
  <c r="K26" i="29876"/>
  <c r="L26" i="29876" s="1"/>
  <c r="K25" i="29876" s="1"/>
  <c r="L25" i="29876" s="1"/>
  <c r="M72" i="29873"/>
  <c r="L72" i="29873"/>
  <c r="H13" i="29876"/>
  <c r="R13" i="29876"/>
  <c r="S13" i="29876" s="1"/>
  <c r="G10" i="29876"/>
  <c r="G15" i="29878"/>
  <c r="G24" i="29878" s="1"/>
  <c r="H7" i="29878"/>
  <c r="L54" i="29878"/>
  <c r="J8" i="29878"/>
  <c r="I8" i="29878" s="1"/>
  <c r="I7" i="29878" s="1"/>
  <c r="E24" i="29878"/>
  <c r="F15" i="29878"/>
  <c r="H80" i="29868"/>
  <c r="F31" i="29873" s="1"/>
  <c r="I140" i="29869"/>
  <c r="F140" i="29869"/>
  <c r="M23" i="29878"/>
  <c r="L23" i="29878"/>
  <c r="K16" i="29878"/>
  <c r="J16" i="29878"/>
  <c r="U11" i="29878"/>
  <c r="P18" i="29878"/>
  <c r="O61" i="29878"/>
  <c r="O13" i="29878" s="1"/>
  <c r="P13" i="29878" s="1"/>
  <c r="P22" i="29878"/>
  <c r="X8" i="29878"/>
  <c r="P6" i="29878"/>
  <c r="P17" i="29878"/>
  <c r="AC78" i="29873"/>
  <c r="F80" i="29868"/>
  <c r="E31" i="29873" s="1"/>
  <c r="O75" i="29876"/>
  <c r="P75" i="29876" s="1"/>
  <c r="O74" i="29876" s="1"/>
  <c r="P74" i="29876" s="1"/>
  <c r="E64" i="29876"/>
  <c r="F64" i="29876" s="1"/>
  <c r="K68" i="29876"/>
  <c r="L68" i="29876" s="1"/>
  <c r="J35" i="29876"/>
  <c r="J59" i="29876"/>
  <c r="I59" i="29876" s="1"/>
  <c r="J20" i="29876"/>
  <c r="I23" i="29876"/>
  <c r="J23" i="29876" s="1"/>
  <c r="L20" i="29876"/>
  <c r="K23" i="29876"/>
  <c r="L23" i="29876" s="1"/>
  <c r="N20" i="29876"/>
  <c r="M23" i="29876"/>
  <c r="N23" i="29876" s="1"/>
  <c r="P20" i="29876"/>
  <c r="R20" i="29876"/>
  <c r="S20" i="29876" s="1"/>
  <c r="O23" i="29876"/>
  <c r="G137" i="29868"/>
  <c r="N12" i="29883" s="1"/>
  <c r="N21" i="29883" s="1"/>
  <c r="H136" i="29868"/>
  <c r="F132" i="29868"/>
  <c r="I132" i="29868"/>
  <c r="E26" i="29873"/>
  <c r="S133" i="29869"/>
  <c r="K132" i="29868"/>
  <c r="N132" i="29868"/>
  <c r="H152" i="29873"/>
  <c r="D8" i="29870"/>
  <c r="M136" i="29868"/>
  <c r="L136" i="29868"/>
  <c r="M87" i="29868"/>
  <c r="E13" i="29873"/>
  <c r="J12" i="29873"/>
  <c r="F10" i="29869"/>
  <c r="H20" i="29876"/>
  <c r="N124" i="29869" l="1"/>
  <c r="N125" i="29869" s="1"/>
  <c r="F26" i="29869" s="1"/>
  <c r="I34" i="29869" s="1"/>
  <c r="I205" i="29873"/>
  <c r="I211" i="29873" s="1"/>
  <c r="I212" i="29873" s="1"/>
  <c r="I208" i="29873"/>
  <c r="P205" i="29873"/>
  <c r="P211" i="29873" s="1"/>
  <c r="P212" i="29873" s="1"/>
  <c r="N252" i="29869"/>
  <c r="N253" i="29869" s="1"/>
  <c r="F154" i="29869" s="1"/>
  <c r="I162" i="29869" s="1"/>
  <c r="J81" i="29873"/>
  <c r="AC77" i="29873"/>
  <c r="P208" i="29873"/>
  <c r="J157" i="29868"/>
  <c r="S13" i="29883" s="1"/>
  <c r="S22" i="29883" s="1"/>
  <c r="S12" i="29883"/>
  <c r="S21" i="29883" s="1"/>
  <c r="L77" i="29873"/>
  <c r="M77" i="29873"/>
  <c r="K59" i="29873"/>
  <c r="G60" i="29873"/>
  <c r="J167" i="29873"/>
  <c r="H167" i="29873"/>
  <c r="E208" i="29873"/>
  <c r="E213" i="29873"/>
  <c r="I213" i="29869"/>
  <c r="R94" i="29873"/>
  <c r="O94" i="29873" s="1"/>
  <c r="L80" i="29873"/>
  <c r="F60" i="29873"/>
  <c r="J59" i="29873"/>
  <c r="H213" i="29869"/>
  <c r="G13" i="29873"/>
  <c r="K13" i="29873" s="1"/>
  <c r="K12" i="29873"/>
  <c r="J165" i="29873"/>
  <c r="H165" i="29873"/>
  <c r="O69" i="29876"/>
  <c r="P69" i="29876" s="1"/>
  <c r="H85" i="29869"/>
  <c r="E33" i="29880"/>
  <c r="D34" i="29880"/>
  <c r="E36" i="29882"/>
  <c r="D39" i="29882"/>
  <c r="R93" i="29873"/>
  <c r="O93" i="29873" s="1"/>
  <c r="AC76" i="29873"/>
  <c r="M96" i="29873"/>
  <c r="M97" i="29873" s="1"/>
  <c r="AC71" i="29873" s="1"/>
  <c r="AC75" i="29873" s="1"/>
  <c r="L97" i="29873"/>
  <c r="AC70" i="29873" s="1"/>
  <c r="L59" i="29876"/>
  <c r="K59" i="29876" s="1"/>
  <c r="L35" i="29876"/>
  <c r="M80" i="29873"/>
  <c r="AB77" i="29873"/>
  <c r="R88" i="29873"/>
  <c r="O88" i="29873" s="1"/>
  <c r="N59" i="29876"/>
  <c r="M59" i="29876" s="1"/>
  <c r="N35" i="29876"/>
  <c r="H10" i="29876"/>
  <c r="G26" i="29876"/>
  <c r="H26" i="29876" s="1"/>
  <c r="G25" i="29876" s="1"/>
  <c r="H25" i="29876" s="1"/>
  <c r="R10" i="29876"/>
  <c r="S10" i="29876" s="1"/>
  <c r="R87" i="29873"/>
  <c r="AB76" i="29873"/>
  <c r="AB78" i="29873"/>
  <c r="R89" i="29873"/>
  <c r="O89" i="29873" s="1"/>
  <c r="H15" i="29878"/>
  <c r="T12" i="29878" s="1"/>
  <c r="S12" i="29878"/>
  <c r="E33" i="29878"/>
  <c r="L16" i="29878"/>
  <c r="V11" i="29878"/>
  <c r="F24" i="29878"/>
  <c r="E27" i="29878"/>
  <c r="O23" i="29878"/>
  <c r="N23" i="29878"/>
  <c r="M16" i="29878"/>
  <c r="N54" i="29878"/>
  <c r="L8" i="29878"/>
  <c r="K8" i="29878" s="1"/>
  <c r="K7" i="29878" s="1"/>
  <c r="I15" i="29878"/>
  <c r="U10" i="29878"/>
  <c r="J7" i="29878"/>
  <c r="G27" i="29878"/>
  <c r="H24" i="29878"/>
  <c r="D23" i="29870"/>
  <c r="C68" i="29870" s="1"/>
  <c r="I75" i="29876"/>
  <c r="J75" i="29876" s="1"/>
  <c r="I74" i="29876" s="1"/>
  <c r="J74" i="29876" s="1"/>
  <c r="I62" i="29876"/>
  <c r="P23" i="29876"/>
  <c r="R23" i="29876"/>
  <c r="S23" i="29876" s="1"/>
  <c r="I136" i="29868"/>
  <c r="F136" i="29868"/>
  <c r="G157" i="29868"/>
  <c r="H137" i="29868"/>
  <c r="L137" i="29868"/>
  <c r="G125" i="29873"/>
  <c r="L8" i="29870"/>
  <c r="L23" i="29870" s="1"/>
  <c r="K136" i="29868"/>
  <c r="N136" i="29868"/>
  <c r="J13" i="29873"/>
  <c r="E14" i="29873"/>
  <c r="O125" i="29869" l="1"/>
  <c r="I26" i="29869" s="1"/>
  <c r="F34" i="29869" s="1"/>
  <c r="O253" i="29869"/>
  <c r="I154" i="29869" s="1"/>
  <c r="F162" i="29869" s="1"/>
  <c r="N126" i="29869"/>
  <c r="L81" i="29873"/>
  <c r="AB70" i="29873" s="1"/>
  <c r="I123" i="29873"/>
  <c r="J166" i="29868"/>
  <c r="G123" i="29873"/>
  <c r="N13" i="29883"/>
  <c r="N22" i="29883" s="1"/>
  <c r="M137" i="29868"/>
  <c r="I12" i="29883"/>
  <c r="I21" i="29883" s="1"/>
  <c r="M81" i="29873"/>
  <c r="AB71" i="29873" s="1"/>
  <c r="AB75" i="29873" s="1"/>
  <c r="G14" i="29873"/>
  <c r="I166" i="29873" s="1"/>
  <c r="F27" i="29869"/>
  <c r="R96" i="29873"/>
  <c r="O72" i="29876"/>
  <c r="P72" i="29876" s="1"/>
  <c r="E39" i="29882"/>
  <c r="D42" i="29882"/>
  <c r="D36" i="29880"/>
  <c r="E34" i="29880"/>
  <c r="N254" i="29869"/>
  <c r="F155" i="29869"/>
  <c r="O87" i="29873"/>
  <c r="R90" i="29873"/>
  <c r="F66" i="29870"/>
  <c r="M75" i="29876"/>
  <c r="N75" i="29876" s="1"/>
  <c r="M74" i="29876" s="1"/>
  <c r="N74" i="29876" s="1"/>
  <c r="M62" i="29876"/>
  <c r="H35" i="29876"/>
  <c r="H59" i="29876"/>
  <c r="G59" i="29876" s="1"/>
  <c r="K62" i="29876"/>
  <c r="K75" i="29876"/>
  <c r="L75" i="29876" s="1"/>
  <c r="K74" i="29876" s="1"/>
  <c r="L74" i="29876" s="1"/>
  <c r="G33" i="29878"/>
  <c r="T9" i="29878" s="1"/>
  <c r="W11" i="29878"/>
  <c r="N16" i="29878"/>
  <c r="J15" i="29878"/>
  <c r="I24" i="29878"/>
  <c r="V10" i="29878"/>
  <c r="K15" i="29878"/>
  <c r="L7" i="29878"/>
  <c r="P23" i="29878"/>
  <c r="O16" i="29878"/>
  <c r="P54" i="29878"/>
  <c r="P8" i="29878" s="1"/>
  <c r="N8" i="29878"/>
  <c r="M8" i="29878" s="1"/>
  <c r="E30" i="29878"/>
  <c r="F27" i="29878"/>
  <c r="F33" i="29878"/>
  <c r="S13" i="29878" s="1"/>
  <c r="S9" i="29878"/>
  <c r="G28" i="29878"/>
  <c r="H28" i="29878" s="1"/>
  <c r="H27" i="29878"/>
  <c r="D27" i="29870"/>
  <c r="G32" i="29870" s="1"/>
  <c r="G153" i="29873" s="1"/>
  <c r="G28" i="29870"/>
  <c r="G29" i="29870" s="1"/>
  <c r="D28" i="29870"/>
  <c r="G55" i="29870" s="1"/>
  <c r="K68" i="29870"/>
  <c r="L28" i="29870"/>
  <c r="O55" i="29870" s="1"/>
  <c r="J62" i="29876"/>
  <c r="I63" i="29876"/>
  <c r="I137" i="29868"/>
  <c r="I13" i="29883"/>
  <c r="I22" i="29883" s="1"/>
  <c r="F137" i="29868"/>
  <c r="H157" i="29868"/>
  <c r="G166" i="29868"/>
  <c r="N14" i="29883" s="1"/>
  <c r="I125" i="29873"/>
  <c r="K137" i="29868"/>
  <c r="N137" i="29868"/>
  <c r="F125" i="29873"/>
  <c r="H125" i="29873" s="1"/>
  <c r="L27" i="29870"/>
  <c r="O32" i="29870" s="1"/>
  <c r="I153" i="29873" s="1"/>
  <c r="N66" i="29870"/>
  <c r="O28" i="29870"/>
  <c r="F13" i="29876"/>
  <c r="G159" i="29873"/>
  <c r="G106" i="29873"/>
  <c r="G160" i="29873"/>
  <c r="L157" i="29868"/>
  <c r="I159" i="29873"/>
  <c r="J14" i="29873"/>
  <c r="F166" i="29873"/>
  <c r="H166" i="29873" s="1"/>
  <c r="O254" i="29869" l="1"/>
  <c r="O256" i="29869" s="1"/>
  <c r="I155" i="29869"/>
  <c r="I27" i="29869"/>
  <c r="F28" i="29869" s="1"/>
  <c r="O126" i="29869"/>
  <c r="O128" i="29869" s="1"/>
  <c r="K14" i="29873"/>
  <c r="J169" i="29868"/>
  <c r="S14" i="29883"/>
  <c r="N23" i="29883"/>
  <c r="N27" i="29883"/>
  <c r="F156" i="29869"/>
  <c r="M157" i="29868"/>
  <c r="F123" i="29873"/>
  <c r="H123" i="29873" s="1"/>
  <c r="D39" i="29880"/>
  <c r="E36" i="29880"/>
  <c r="D44" i="29882"/>
  <c r="E42" i="29882"/>
  <c r="L62" i="29876"/>
  <c r="K63" i="29876"/>
  <c r="G62" i="29876"/>
  <c r="G75" i="29876"/>
  <c r="H75" i="29876" s="1"/>
  <c r="G74" i="29876" s="1"/>
  <c r="H74" i="29876" s="1"/>
  <c r="V59" i="29876"/>
  <c r="E59" i="29876"/>
  <c r="N62" i="29876"/>
  <c r="M63" i="29876"/>
  <c r="H33" i="29878"/>
  <c r="T13" i="29878" s="1"/>
  <c r="F30" i="29878"/>
  <c r="E31" i="29878"/>
  <c r="F31" i="29878" s="1"/>
  <c r="J24" i="29878"/>
  <c r="I27" i="29878"/>
  <c r="O8" i="29878"/>
  <c r="O7" i="29878" s="1"/>
  <c r="M7" i="29878"/>
  <c r="U12" i="29878"/>
  <c r="I33" i="29878"/>
  <c r="X11" i="29878"/>
  <c r="P16" i="29878"/>
  <c r="K24" i="29878"/>
  <c r="L15" i="29878"/>
  <c r="G30" i="29878"/>
  <c r="D29" i="29870"/>
  <c r="G30" i="29870" s="1"/>
  <c r="D55" i="29870"/>
  <c r="J63" i="29876"/>
  <c r="I69" i="29876"/>
  <c r="H166" i="29868"/>
  <c r="G169" i="29868"/>
  <c r="F157" i="29868"/>
  <c r="I14" i="29883"/>
  <c r="I157" i="29868"/>
  <c r="L55" i="29870"/>
  <c r="O29" i="29870"/>
  <c r="M153" i="29873"/>
  <c r="J153" i="29873"/>
  <c r="M125" i="29873"/>
  <c r="J125" i="29873"/>
  <c r="I160" i="29873"/>
  <c r="N157" i="29868"/>
  <c r="I106" i="29873"/>
  <c r="K157" i="29868"/>
  <c r="L29" i="29870"/>
  <c r="M159" i="29873"/>
  <c r="J159" i="29873"/>
  <c r="G124" i="29873"/>
  <c r="F17" i="29873"/>
  <c r="G144" i="29873"/>
  <c r="G107" i="29873"/>
  <c r="L166" i="29868"/>
  <c r="F26" i="29876"/>
  <c r="E25" i="29876" s="1"/>
  <c r="F10" i="29876"/>
  <c r="F106" i="29873"/>
  <c r="H106" i="29873" s="1"/>
  <c r="F160" i="29873"/>
  <c r="H160" i="29873" s="1"/>
  <c r="F159" i="29873"/>
  <c r="H159" i="29873" s="1"/>
  <c r="F14" i="29876"/>
  <c r="U14" i="29876" s="1"/>
  <c r="E20" i="29876"/>
  <c r="T14" i="29876"/>
  <c r="M166" i="29873"/>
  <c r="J166" i="29873"/>
  <c r="S23" i="29883" l="1"/>
  <c r="S27" i="29883"/>
  <c r="J171" i="29868"/>
  <c r="S15" i="29883" s="1"/>
  <c r="S25" i="29883" s="1"/>
  <c r="K123" i="29869"/>
  <c r="J108" i="29869" s="1"/>
  <c r="I23" i="29883"/>
  <c r="I27" i="29883"/>
  <c r="C9" i="29881"/>
  <c r="C24" i="29881" s="1"/>
  <c r="C37" i="29881" s="1"/>
  <c r="C46" i="29881" s="1"/>
  <c r="C48" i="29881" s="1"/>
  <c r="C50" i="29881" s="1"/>
  <c r="E44" i="29882"/>
  <c r="F61" i="29882"/>
  <c r="D42" i="29880"/>
  <c r="E39" i="29880"/>
  <c r="N63" i="29876"/>
  <c r="M69" i="29876"/>
  <c r="H62" i="29876"/>
  <c r="G63" i="29876"/>
  <c r="V62" i="29876"/>
  <c r="F59" i="29876"/>
  <c r="E62" i="29876"/>
  <c r="E75" i="29876"/>
  <c r="F75" i="29876" s="1"/>
  <c r="L63" i="29876"/>
  <c r="K69" i="29876"/>
  <c r="X10" i="29878"/>
  <c r="P7" i="29878"/>
  <c r="O15" i="29878"/>
  <c r="V12" i="29878"/>
  <c r="K33" i="29878"/>
  <c r="U9" i="29878"/>
  <c r="J33" i="29878"/>
  <c r="U13" i="29878" s="1"/>
  <c r="J27" i="29878"/>
  <c r="I28" i="29878"/>
  <c r="K27" i="29878"/>
  <c r="L24" i="29878"/>
  <c r="M15" i="29878"/>
  <c r="W10" i="29878"/>
  <c r="N7" i="29878"/>
  <c r="G31" i="29878"/>
  <c r="H31" i="29878" s="1"/>
  <c r="H30" i="29878"/>
  <c r="O30" i="29870"/>
  <c r="J69" i="29876"/>
  <c r="I72" i="29876"/>
  <c r="J72" i="29876" s="1"/>
  <c r="F20" i="29876"/>
  <c r="E23" i="29876"/>
  <c r="F23" i="29876" s="1"/>
  <c r="F25" i="29876"/>
  <c r="F166" i="29868"/>
  <c r="I166" i="29868"/>
  <c r="G171" i="29868"/>
  <c r="H169" i="29868"/>
  <c r="F144" i="29873"/>
  <c r="H144" i="29873" s="1"/>
  <c r="F107" i="29873"/>
  <c r="H107" i="29873" s="1"/>
  <c r="F124" i="29873"/>
  <c r="H124" i="29873" s="1"/>
  <c r="E17" i="29873"/>
  <c r="G108" i="29873"/>
  <c r="N166" i="29868"/>
  <c r="I163" i="29873" s="1"/>
  <c r="M163" i="29873" s="1"/>
  <c r="I144" i="29873"/>
  <c r="I124" i="29873"/>
  <c r="I107" i="29873"/>
  <c r="K166" i="29868"/>
  <c r="G17" i="29873"/>
  <c r="M166" i="29868"/>
  <c r="G163" i="29873" s="1"/>
  <c r="M106" i="29873"/>
  <c r="J106" i="29873"/>
  <c r="J123" i="29873"/>
  <c r="M123" i="29873"/>
  <c r="M160" i="29873"/>
  <c r="J160" i="29873"/>
  <c r="G158" i="29873" l="1"/>
  <c r="N15" i="29883"/>
  <c r="N25" i="29883" s="1"/>
  <c r="M123" i="29869"/>
  <c r="J183" i="29868"/>
  <c r="I158" i="29873"/>
  <c r="M158" i="29873" s="1"/>
  <c r="M169" i="29868"/>
  <c r="D44" i="29880"/>
  <c r="E42" i="29880"/>
  <c r="F64" i="29882"/>
  <c r="H61" i="29882"/>
  <c r="J61" i="29882" s="1"/>
  <c r="F62" i="29876"/>
  <c r="E63" i="29876"/>
  <c r="F63" i="29876" s="1"/>
  <c r="H63" i="29876"/>
  <c r="V63" i="29876"/>
  <c r="L69" i="29876"/>
  <c r="K72" i="29876"/>
  <c r="L72" i="29876" s="1"/>
  <c r="N69" i="29876"/>
  <c r="M72" i="29876"/>
  <c r="N72" i="29876" s="1"/>
  <c r="V9" i="29878"/>
  <c r="L33" i="29878"/>
  <c r="V13" i="29878" s="1"/>
  <c r="N15" i="29878"/>
  <c r="M24" i="29878"/>
  <c r="P15" i="29878"/>
  <c r="O24" i="29878"/>
  <c r="J28" i="29878"/>
  <c r="I30" i="29878"/>
  <c r="K28" i="29878"/>
  <c r="L27" i="29878"/>
  <c r="M108" i="29869"/>
  <c r="L108" i="29869"/>
  <c r="L124" i="29869" s="1"/>
  <c r="J163" i="29873"/>
  <c r="G183" i="29868"/>
  <c r="H171" i="29868"/>
  <c r="F169" i="29868"/>
  <c r="I169" i="29868"/>
  <c r="J124" i="29873"/>
  <c r="M124" i="29873"/>
  <c r="K124" i="29869"/>
  <c r="J107" i="29873"/>
  <c r="M107" i="29873"/>
  <c r="M144" i="29873"/>
  <c r="J144" i="29873"/>
  <c r="N169" i="29868"/>
  <c r="K251" i="29869"/>
  <c r="J236" i="29869" s="1"/>
  <c r="I108" i="29873"/>
  <c r="K169" i="29868"/>
  <c r="L171" i="29868"/>
  <c r="F108" i="29873"/>
  <c r="H108" i="29873" s="1"/>
  <c r="L169" i="29868"/>
  <c r="J158" i="29873" l="1"/>
  <c r="F158" i="29873"/>
  <c r="H158" i="29873" s="1"/>
  <c r="I15" i="29883"/>
  <c r="I25" i="29883" s="1"/>
  <c r="F65" i="29882"/>
  <c r="H64" i="29882"/>
  <c r="C9" i="29879"/>
  <c r="C24" i="29879" s="1"/>
  <c r="C37" i="29879" s="1"/>
  <c r="C46" i="29879" s="1"/>
  <c r="C48" i="29879" s="1"/>
  <c r="C50" i="29879" s="1"/>
  <c r="F61" i="29880"/>
  <c r="E44" i="29880"/>
  <c r="X12" i="29878"/>
  <c r="O33" i="29878"/>
  <c r="I31" i="29878"/>
  <c r="J31" i="29878" s="1"/>
  <c r="J30" i="29878"/>
  <c r="M27" i="29878"/>
  <c r="N24" i="29878"/>
  <c r="W12" i="29878"/>
  <c r="M33" i="29878"/>
  <c r="L28" i="29878"/>
  <c r="K30" i="29878"/>
  <c r="O27" i="29878"/>
  <c r="P24" i="29878"/>
  <c r="I9" i="29869"/>
  <c r="G36" i="29870" s="1"/>
  <c r="G41" i="29870" s="1"/>
  <c r="M236" i="29869"/>
  <c r="L236" i="29869"/>
  <c r="L252" i="29869" s="1"/>
  <c r="J124" i="29869"/>
  <c r="K128" i="29869" s="1"/>
  <c r="E183" i="29868"/>
  <c r="I183" i="29868" s="1"/>
  <c r="I171" i="29868"/>
  <c r="F171" i="29868"/>
  <c r="M108" i="29873"/>
  <c r="J108" i="29873"/>
  <c r="K252" i="29869"/>
  <c r="M251" i="29869"/>
  <c r="N171" i="29868"/>
  <c r="K171" i="29868"/>
  <c r="I7" i="29869"/>
  <c r="M124" i="29869"/>
  <c r="M171" i="29868"/>
  <c r="J64" i="29882" l="1"/>
  <c r="J65" i="29882" s="1"/>
  <c r="H65" i="29882"/>
  <c r="F64" i="29880"/>
  <c r="H61" i="29880"/>
  <c r="J61" i="29880" s="1"/>
  <c r="W9" i="29878"/>
  <c r="N33" i="29878"/>
  <c r="W13" i="29878" s="1"/>
  <c r="O28" i="29878"/>
  <c r="P27" i="29878"/>
  <c r="N27" i="29878"/>
  <c r="M28" i="29878"/>
  <c r="N28" i="29878" s="1"/>
  <c r="K31" i="29878"/>
  <c r="L31" i="29878" s="1"/>
  <c r="L30" i="29878"/>
  <c r="P33" i="29878"/>
  <c r="X13" i="29878" s="1"/>
  <c r="X9" i="29878"/>
  <c r="I137" i="29869"/>
  <c r="O36" i="29870" s="1"/>
  <c r="O41" i="29870" s="1"/>
  <c r="G49" i="29870"/>
  <c r="G50" i="29870"/>
  <c r="D56" i="29870" s="1"/>
  <c r="D62" i="29870" s="1"/>
  <c r="F67" i="29870"/>
  <c r="F69" i="29870" s="1"/>
  <c r="D50" i="29870"/>
  <c r="C67" i="29870"/>
  <c r="C69" i="29870" s="1"/>
  <c r="C70" i="29870" s="1"/>
  <c r="C73" i="29870" s="1"/>
  <c r="M183" i="29868"/>
  <c r="J252" i="29869"/>
  <c r="K256" i="29869" s="1"/>
  <c r="I17" i="29869"/>
  <c r="I135" i="29869"/>
  <c r="M125" i="29869"/>
  <c r="M126" i="29869" s="1"/>
  <c r="L125" i="29869"/>
  <c r="L183" i="29868"/>
  <c r="N183" i="29868"/>
  <c r="H64" i="29880" l="1"/>
  <c r="F65" i="29880"/>
  <c r="G51" i="29870"/>
  <c r="M30" i="29878"/>
  <c r="P28" i="29878"/>
  <c r="O30" i="29878"/>
  <c r="G56" i="29870"/>
  <c r="G62" i="29870" s="1"/>
  <c r="G63" i="29870" s="1"/>
  <c r="D51" i="29870"/>
  <c r="N67" i="29870"/>
  <c r="N69" i="29870" s="1"/>
  <c r="L50" i="29870"/>
  <c r="O50" i="29870"/>
  <c r="L56" i="29870" s="1"/>
  <c r="L62" i="29870" s="1"/>
  <c r="O49" i="29870"/>
  <c r="K67" i="29870"/>
  <c r="K69" i="29870" s="1"/>
  <c r="K70" i="29870" s="1"/>
  <c r="K73" i="29870" s="1"/>
  <c r="M252" i="29869"/>
  <c r="L253" i="29869" s="1"/>
  <c r="Q125" i="29869"/>
  <c r="Q126" i="29869" s="1"/>
  <c r="L126" i="29869"/>
  <c r="M128" i="29869" s="1"/>
  <c r="F15" i="29869"/>
  <c r="I15" i="29869"/>
  <c r="P125" i="29869"/>
  <c r="P126" i="29869" s="1"/>
  <c r="I145" i="29869"/>
  <c r="J64" i="29880" l="1"/>
  <c r="J65" i="29880" s="1"/>
  <c r="H65" i="29880"/>
  <c r="G52" i="29870"/>
  <c r="M31" i="29878"/>
  <c r="N31" i="29878" s="1"/>
  <c r="N30" i="29878"/>
  <c r="P30" i="29878"/>
  <c r="O31" i="29878"/>
  <c r="P31" i="29878" s="1"/>
  <c r="O56" i="29870"/>
  <c r="O62" i="29870" s="1"/>
  <c r="O63" i="29870" s="1"/>
  <c r="L51" i="29870"/>
  <c r="O51" i="29870"/>
  <c r="Q128" i="29869"/>
  <c r="M253" i="29869"/>
  <c r="M254" i="29869" s="1"/>
  <c r="I33" i="29869"/>
  <c r="I35" i="29869" s="1"/>
  <c r="F16" i="29869"/>
  <c r="L254" i="29869"/>
  <c r="Q253" i="29869"/>
  <c r="Q254" i="29869" s="1"/>
  <c r="F143" i="29869"/>
  <c r="F33" i="29869"/>
  <c r="F35" i="29869" s="1"/>
  <c r="F37" i="29869" s="1"/>
  <c r="I16" i="29869"/>
  <c r="O52" i="29870" l="1"/>
  <c r="M256" i="29869"/>
  <c r="I143" i="29869"/>
  <c r="I144" i="29869" s="1"/>
  <c r="P253" i="29869"/>
  <c r="P254" i="29869" s="1"/>
  <c r="Q256" i="29869" s="1"/>
  <c r="F144" i="29869"/>
  <c r="I161" i="29869"/>
  <c r="I163" i="29869" s="1"/>
  <c r="F36" i="29869"/>
  <c r="I37" i="29869"/>
  <c r="F17" i="29869"/>
  <c r="F161" i="29869" l="1"/>
  <c r="F163" i="29869" s="1"/>
  <c r="F165" i="29869" s="1"/>
  <c r="F145" i="29869"/>
  <c r="I165" i="29869"/>
  <c r="F164" i="29869" l="1"/>
  <c r="O40" i="29876"/>
  <c r="O44" i="29876" s="1"/>
  <c r="P44" i="29876" s="1"/>
  <c r="K40" i="29876"/>
  <c r="K44" i="29876" s="1"/>
  <c r="L44" i="29876" s="1"/>
  <c r="G40" i="29876"/>
  <c r="G44" i="29876" s="1"/>
  <c r="H44" i="29876" s="1"/>
  <c r="M40" i="29876"/>
  <c r="M44" i="29876" s="1"/>
  <c r="N44" i="29876" s="1"/>
  <c r="I40" i="29876"/>
  <c r="I44" i="29876" s="1"/>
  <c r="J44" i="29876" s="1"/>
  <c r="M35" i="29876"/>
  <c r="K35" i="29876"/>
  <c r="G35" i="29876"/>
  <c r="O35" i="29876"/>
  <c r="I35" i="29876"/>
  <c r="M51" i="29876" l="1"/>
  <c r="N51" i="29876" s="1"/>
  <c r="M50" i="29876" s="1"/>
  <c r="N50" i="29876" s="1"/>
  <c r="I51" i="29876"/>
  <c r="J51" i="29876" s="1"/>
  <c r="I50" i="29876" s="1"/>
  <c r="J50" i="29876" s="1"/>
  <c r="G51" i="29876"/>
  <c r="H51" i="29876" s="1"/>
  <c r="G50" i="29876" s="1"/>
  <c r="H50" i="29876" s="1"/>
  <c r="O51" i="29876"/>
  <c r="P51" i="29876" s="1"/>
  <c r="O50" i="29876" s="1"/>
  <c r="P50" i="29876" s="1"/>
  <c r="K38" i="29876"/>
  <c r="K39" i="29876" s="1"/>
  <c r="K51" i="29876"/>
  <c r="L51" i="29876" s="1"/>
  <c r="K50" i="29876" s="1"/>
  <c r="L50" i="29876" s="1"/>
  <c r="V44" i="29876"/>
  <c r="E40" i="29876"/>
  <c r="M38" i="29876"/>
  <c r="O38" i="29876"/>
  <c r="V35" i="29876"/>
  <c r="E35" i="29876"/>
  <c r="G38" i="29876"/>
  <c r="I38" i="29876"/>
  <c r="E51" i="29876" l="1"/>
  <c r="F51" i="29876" s="1"/>
  <c r="E50" i="29876" s="1"/>
  <c r="L38" i="29876"/>
  <c r="J38" i="29876"/>
  <c r="I39" i="29876"/>
  <c r="F35" i="29876"/>
  <c r="E38" i="29876"/>
  <c r="N38" i="29876"/>
  <c r="M39" i="29876"/>
  <c r="H38" i="29876"/>
  <c r="V38" i="29876"/>
  <c r="G39" i="29876"/>
  <c r="P38" i="29876"/>
  <c r="O39" i="29876"/>
  <c r="F40" i="29876"/>
  <c r="E44" i="29876"/>
  <c r="L39" i="29876"/>
  <c r="K45" i="29876"/>
  <c r="L45" i="29876" s="1"/>
  <c r="N39" i="29876" l="1"/>
  <c r="M45" i="29876"/>
  <c r="N45" i="29876" s="1"/>
  <c r="F38" i="29876"/>
  <c r="E39" i="29876"/>
  <c r="K48" i="29876"/>
  <c r="L48" i="29876" s="1"/>
  <c r="F44" i="29876"/>
  <c r="F50" i="29876"/>
  <c r="P39" i="29876"/>
  <c r="O45" i="29876"/>
  <c r="P45" i="29876" s="1"/>
  <c r="H39" i="29876"/>
  <c r="V39" i="29876"/>
  <c r="G45" i="29876"/>
  <c r="H45" i="29876" s="1"/>
  <c r="J39" i="29876"/>
  <c r="I45" i="29876"/>
  <c r="J45" i="29876" s="1"/>
  <c r="I48" i="29876" l="1"/>
  <c r="J48" i="29876" s="1"/>
  <c r="V45" i="29876"/>
  <c r="G48" i="29876"/>
  <c r="H48" i="29876" s="1"/>
  <c r="O48" i="29876"/>
  <c r="P48" i="29876" s="1"/>
  <c r="F39" i="29876"/>
  <c r="E45" i="29876"/>
  <c r="M48" i="29876"/>
  <c r="N48" i="29876" s="1"/>
  <c r="F45" i="29876" l="1"/>
  <c r="E48" i="29876"/>
  <c r="F48" i="29876" s="1"/>
  <c r="V65" i="29876"/>
  <c r="H65" i="29876"/>
  <c r="E65" i="29876"/>
  <c r="G68" i="29876"/>
  <c r="E76" i="29876" l="1"/>
  <c r="E74" i="29876"/>
  <c r="F74" i="29876" s="1"/>
  <c r="V68" i="29876"/>
  <c r="H68" i="29876"/>
  <c r="G69" i="29876"/>
  <c r="H69" i="29876" s="1"/>
  <c r="E68" i="29876"/>
  <c r="F68" i="29876" s="1"/>
  <c r="F65" i="29876"/>
  <c r="E69" i="29876" l="1"/>
  <c r="F69" i="29876" s="1"/>
  <c r="G72" i="29876"/>
  <c r="H72" i="29876" s="1"/>
  <c r="V69" i="29876"/>
  <c r="E72" i="29876" l="1"/>
  <c r="F72" i="2987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D1" authorId="0" shapeId="0" xr:uid="{00000000-0006-0000-0000-000001000000}">
      <text>
        <r>
          <rPr>
            <sz val="9"/>
            <color indexed="81"/>
            <rFont val="HG丸ｺﾞｼｯｸM-PRO"/>
            <family val="3"/>
            <charset val="128"/>
          </rPr>
          <t>この色のセルが入力箇所です。</t>
        </r>
      </text>
    </comment>
    <comment ref="D10" authorId="0" shapeId="0" xr:uid="{00000000-0006-0000-0000-000002000000}">
      <text>
        <r>
          <rPr>
            <sz val="9"/>
            <color indexed="81"/>
            <rFont val="HG丸ｺﾞｼｯｸM-PRO"/>
            <family val="3"/>
            <charset val="128"/>
          </rPr>
          <t>この色のセルは科目名称から自由に入力できます。</t>
        </r>
      </text>
    </comment>
    <comment ref="C97" authorId="0" shapeId="0" xr:uid="{00000000-0006-0000-0000-000003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 ref="C144" authorId="0" shapeId="0" xr:uid="{00000000-0006-0000-0000-000004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A19" authorId="0" shapeId="0" xr:uid="{00000000-0006-0000-0100-000001000000}">
      <text>
        <r>
          <rPr>
            <sz val="11"/>
            <color indexed="81"/>
            <rFont val="HG丸ｺﾞｼｯｸM-PRO"/>
            <family val="3"/>
            <charset val="128"/>
          </rPr>
          <t>【CHECK POINT】
　・売上と損益分岐点比率の推移
　・限界利益「率」の推移
　・固定費の増減「額」
　・各費用は売上と連動しているか
　　　売上増加　→利益率・額も伴っているか？
　　　売上減少　→費用も柔軟にコントロール（削減）出来たか？
　・</t>
        </r>
        <r>
          <rPr>
            <u/>
            <sz val="11"/>
            <color indexed="81"/>
            <rFont val="HG丸ｺﾞｼｯｸM-PRO"/>
            <family val="3"/>
            <charset val="128"/>
          </rPr>
          <t>限界利益率、固定費額の増減理由は何か？</t>
        </r>
        <r>
          <rPr>
            <sz val="11"/>
            <color indexed="81"/>
            <rFont val="HG丸ｺﾞｼｯｸM-PRO"/>
            <family val="3"/>
            <charset val="128"/>
          </rPr>
          <t xml:space="preserve">
　　（財務諸表より要因となる科目を検証）
　・固定費の割合が大きい企業（業界）⇒売上増減時の利益増減幅が大きい
　　　　　　　　　　　　　　　　　　（＝レバレッジ大）
　　　　　　　　　　　　　　　　　　※業界水準との差異も確認
　・・・変動損益計算書を用いた部門別売上・利益シミュレーション
　　　　⇒「部門別売上sim」シートへ</t>
        </r>
      </text>
    </comment>
    <comment ref="A45" authorId="0" shapeId="0" xr:uid="{00000000-0006-0000-0100-000002000000}">
      <text>
        <r>
          <rPr>
            <sz val="11"/>
            <color indexed="81"/>
            <rFont val="HG丸ｺﾞｼｯｸM-PRO"/>
            <family val="3"/>
            <charset val="128"/>
          </rPr>
          <t>【CHECK POINT】
　・流動と固定の貸借バランス
　［</t>
        </r>
        <r>
          <rPr>
            <u/>
            <sz val="11"/>
            <color indexed="81"/>
            <rFont val="HG丸ｺﾞｼｯｸM-PRO"/>
            <family val="3"/>
            <charset val="128"/>
          </rPr>
          <t>流動資産＞流動負債</t>
        </r>
        <r>
          <rPr>
            <sz val="11"/>
            <color indexed="81"/>
            <rFont val="HG丸ｺﾞｼｯｸM-PRO"/>
            <family val="3"/>
            <charset val="128"/>
          </rPr>
          <t>、</t>
        </r>
        <r>
          <rPr>
            <u/>
            <sz val="11"/>
            <color indexed="81"/>
            <rFont val="HG丸ｺﾞｼｯｸM-PRO"/>
            <family val="3"/>
            <charset val="128"/>
          </rPr>
          <t>固定資産＜固定負債＋純資産</t>
        </r>
        <r>
          <rPr>
            <sz val="11"/>
            <color indexed="81"/>
            <rFont val="HG丸ｺﾞｼｯｸM-PRO"/>
            <family val="3"/>
            <charset val="128"/>
          </rPr>
          <t>、が基本］
　・負債と純資産、総資産と純資産のバランス
　　（借入が純資産≒自己資本に対して重すぎないか）
　・主要ＢＳ科目の増減傾向は売上と類似するか？
　　→乖離する科目と、その理由・・・財務諸表より検証</t>
        </r>
      </text>
    </comment>
    <comment ref="A62" authorId="0" shapeId="0" xr:uid="{00000000-0006-0000-0100-000003000000}">
      <text>
        <r>
          <rPr>
            <sz val="11"/>
            <color indexed="81"/>
            <rFont val="HG丸ｺﾞｼｯｸM-PRO"/>
            <family val="3"/>
            <charset val="128"/>
          </rPr>
          <t>【CHECK POINT】
　・平均月商と所要運転資金の増減傾向は一致するか？
　　※</t>
        </r>
        <r>
          <rPr>
            <u/>
            <sz val="11"/>
            <color indexed="81"/>
            <rFont val="HG丸ｺﾞｼｯｸM-PRO"/>
            <family val="3"/>
            <charset val="128"/>
          </rPr>
          <t xml:space="preserve">所要運転資金
</t>
        </r>
        <r>
          <rPr>
            <sz val="11"/>
            <color indexed="81"/>
            <rFont val="HG丸ｺﾞｼｯｸM-PRO"/>
            <family val="3"/>
            <charset val="128"/>
          </rPr>
          <t>　　　＝</t>
        </r>
        <r>
          <rPr>
            <u/>
            <sz val="11"/>
            <color indexed="81"/>
            <rFont val="HG丸ｺﾞｼｯｸM-PRO"/>
            <family val="3"/>
            <charset val="128"/>
          </rPr>
          <t>売上債権（売掛金＋受取手形）＋棚卸資産－買入債務（買掛金＋支払手形）</t>
        </r>
        <r>
          <rPr>
            <sz val="11"/>
            <color indexed="81"/>
            <rFont val="HG丸ｺﾞｼｯｸM-PRO"/>
            <family val="3"/>
            <charset val="128"/>
          </rPr>
          <t xml:space="preserve">
　・各回転期間は一定に推移しているか？
　　　※売上債権＆棚卸資産の回転期間は、基本的に「短縮」が理想
　　　　買入債務の長期化は資金繰り的にはプラスだが、取引面からの検証必要
　・</t>
        </r>
        <r>
          <rPr>
            <u/>
            <sz val="11"/>
            <color indexed="81"/>
            <rFont val="HG丸ｺﾞｼｯｸM-PRO"/>
            <family val="3"/>
            <charset val="128"/>
          </rPr>
          <t xml:space="preserve">回転期間の変化時　⇒要因は何か？？？
</t>
        </r>
        <r>
          <rPr>
            <sz val="11"/>
            <color indexed="81"/>
            <rFont val="HG丸ｺﾞｼｯｸM-PRO"/>
            <family val="3"/>
            <charset val="128"/>
          </rPr>
          <t xml:space="preserve">
　　　　　　　　　　　　　　［要因例］
　　　　売上債権の長期化　⇒・得意先からの回収条件を変更（販売拡大策？）
　　　　　　　　　　　　　　・倒産等による回収不能債権の発生
　　　　棚卸資産の長期化　⇒・売れ残り、販売計画の誤算、不良在庫の増加
　　　　　　　　　　　　　　・在庫積増しによる粗利益の操作？
　　　　買入債務の長期化　⇒・当社支払の遅延
　　　　　　　　　　　　　　・仕入先との支払条件変更（資金繰り難が理由？）
　・各回転期間の変化が、所要運転資金額にどの程度影響を与えているか？
　　（≒月商増減の影響を除いた、回転期間の変化の影響による増減額を検証）　
　　　ex）</t>
        </r>
        <r>
          <rPr>
            <u/>
            <sz val="11"/>
            <color indexed="81"/>
            <rFont val="HG丸ｺﾞｼｯｸM-PRO"/>
            <family val="3"/>
            <charset val="128"/>
          </rPr>
          <t>在庫削減提案時、「資金繰りの改善見込みとして数字を示す」という使い方も。</t>
        </r>
      </text>
    </comment>
    <comment ref="N106" authorId="0" shapeId="0" xr:uid="{00000000-0006-0000-0100-000004000000}">
      <text>
        <r>
          <rPr>
            <sz val="11"/>
            <color indexed="81"/>
            <rFont val="HG丸ｺﾞｼｯｸM-PRO"/>
            <family val="3"/>
            <charset val="128"/>
          </rPr>
          <t>ＴＫＣが毎年度公表している経営指標データ「BAST」から、
当該社が属する業種の経営分析表を出力し、各数値を手入力します。
業界平均と比較し、当該社の各項目の特徴を考察します。
また、過去３期の推移から傾向を捉えます。
※</t>
        </r>
        <r>
          <rPr>
            <u/>
            <sz val="11"/>
            <color indexed="81"/>
            <rFont val="HG丸ｺﾞｼｯｸM-PRO"/>
            <family val="3"/>
            <charset val="128"/>
          </rPr>
          <t xml:space="preserve">業界平均は、必ずしも「良否」の判断基準ではありません。
</t>
        </r>
        <r>
          <rPr>
            <sz val="11"/>
            <color indexed="81"/>
            <rFont val="HG丸ｺﾞｼｯｸM-PRO"/>
            <family val="3"/>
            <charset val="128"/>
          </rPr>
          <t>　（データの母集団の数・規模による影響もあり）
　平均値との「比較」から差異を見つけ、その要因を考えることで
　当社の特徴を捉えます。
※各項目をバラバラに○×判定するのみでなく、各数値の傾向・要因から
　当社の</t>
        </r>
        <r>
          <rPr>
            <u/>
            <sz val="11"/>
            <color indexed="81"/>
            <rFont val="HG丸ｺﾞｼｯｸM-PRO"/>
            <family val="3"/>
            <charset val="128"/>
          </rPr>
          <t>全体像を総体的に捉える視点</t>
        </r>
        <r>
          <rPr>
            <sz val="11"/>
            <color indexed="81"/>
            <rFont val="HG丸ｺﾞｼｯｸM-PRO"/>
            <family val="3"/>
            <charset val="128"/>
          </rPr>
          <t>も必要です。</t>
        </r>
      </text>
    </comment>
    <comment ref="A171" authorId="0" shapeId="0" xr:uid="{00000000-0006-0000-0100-000005000000}">
      <text>
        <r>
          <rPr>
            <sz val="11"/>
            <color indexed="81"/>
            <rFont val="HG丸ｺﾞｼｯｸM-PRO"/>
            <family val="3"/>
            <charset val="128"/>
          </rPr>
          <t>【長期借入返済シミュレーション】</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G7" authorId="0" shapeId="0" xr:uid="{00000000-0006-0000-0600-000001000000}">
      <text>
        <r>
          <rPr>
            <sz val="11"/>
            <color indexed="81"/>
            <rFont val="HG丸ｺﾞｼｯｸM-PRO"/>
            <family val="3"/>
            <charset val="128"/>
          </rPr>
          <t>①部門・事業名、②売上構成比、③部門別人員数、④①毎の粗利益率概算、をヒアリングし、肌色のセルに入力します。</t>
        </r>
      </text>
    </comment>
    <comment ref="E34" authorId="0" shapeId="0" xr:uid="{00000000-0006-0000-0600-000002000000}">
      <text>
        <r>
          <rPr>
            <sz val="11"/>
            <color indexed="81"/>
            <rFont val="HG丸ｺﾞｼｯｸM-PRO"/>
            <family val="3"/>
            <charset val="128"/>
          </rPr>
          <t>肌色のセルが入力セルになります。
尚、</t>
        </r>
        <r>
          <rPr>
            <u/>
            <sz val="11"/>
            <color indexed="81"/>
            <rFont val="HG丸ｺﾞｼｯｸM-PRO"/>
            <family val="3"/>
            <charset val="128"/>
          </rPr>
          <t>入力セルでも各費用はあらかじめ部門別の売上比又は人員数比で配分された値が表示</t>
        </r>
        <r>
          <rPr>
            <sz val="11"/>
            <color indexed="81"/>
            <rFont val="HG丸ｺﾞｼｯｸM-PRO"/>
            <family val="3"/>
            <charset val="128"/>
          </rPr>
          <t>されていますので、ヒアリング内容に基づき必要に応じて上書き入力します。</t>
        </r>
      </text>
    </comment>
  </commentList>
</comments>
</file>

<file path=xl/sharedStrings.xml><?xml version="1.0" encoding="utf-8"?>
<sst xmlns="http://schemas.openxmlformats.org/spreadsheetml/2006/main" count="1797" uniqueCount="782">
  <si>
    <t>単位：千円</t>
  </si>
  <si>
    <t>構成比</t>
  </si>
  <si>
    <t>特徴／備考</t>
  </si>
  <si>
    <t>算式</t>
  </si>
  <si>
    <t>％</t>
  </si>
  <si>
    <t>売上高</t>
  </si>
  <si>
    <t>変動費</t>
  </si>
  <si>
    <t>限界利益</t>
  </si>
  <si>
    <t>売上高-変動費</t>
  </si>
  <si>
    <t>現金・預金</t>
  </si>
  <si>
    <t>限界利益率</t>
  </si>
  <si>
    <t>限界利益÷売上高（％）</t>
  </si>
  <si>
    <t>売掛金</t>
  </si>
  <si>
    <t>固定費</t>
  </si>
  <si>
    <t>受取手形</t>
  </si>
  <si>
    <t>固定費÷限界利益率</t>
  </si>
  <si>
    <t>製品・商品</t>
  </si>
  <si>
    <t>原材料</t>
  </si>
  <si>
    <t>売上債権回転期間</t>
  </si>
  <si>
    <t>棚卸資産回転期間</t>
  </si>
  <si>
    <t>貸倒引当金（▲）</t>
  </si>
  <si>
    <t>買入債務回転期間</t>
  </si>
  <si>
    <t>所要運転資金</t>
  </si>
  <si>
    <t>流動資産</t>
  </si>
  <si>
    <t>固定資産</t>
  </si>
  <si>
    <t>流動負債</t>
  </si>
  <si>
    <t>固定負債</t>
  </si>
  <si>
    <t>支払手形</t>
  </si>
  <si>
    <t>買掛金</t>
  </si>
  <si>
    <t>増減</t>
  </si>
  <si>
    <t>未払消費税</t>
  </si>
  <si>
    <t>長期借入金</t>
  </si>
  <si>
    <t>減価償却費</t>
  </si>
  <si>
    <t>材料棚卸高</t>
  </si>
  <si>
    <t>当期材料仕入高</t>
  </si>
  <si>
    <t>期末材料棚卸高</t>
  </si>
  <si>
    <t>需要合計</t>
  </si>
  <si>
    <t>消耗品費</t>
  </si>
  <si>
    <t>調達合計</t>
  </si>
  <si>
    <t>当期製造経費</t>
  </si>
  <si>
    <t>合計</t>
  </si>
  <si>
    <t>当期製造原価</t>
  </si>
  <si>
    <t>売上原価</t>
  </si>
  <si>
    <t>商品仕入高</t>
  </si>
  <si>
    <t>売上総利益</t>
  </si>
  <si>
    <t>販売管理費</t>
  </si>
  <si>
    <t>役員報酬</t>
  </si>
  <si>
    <t>給与・賞与</t>
  </si>
  <si>
    <t>退職金</t>
  </si>
  <si>
    <t>営業利益</t>
  </si>
  <si>
    <t>営業外収益</t>
  </si>
  <si>
    <t>受取利息・配当</t>
  </si>
  <si>
    <t>経常利益</t>
  </si>
  <si>
    <t>税引前当期利益</t>
  </si>
  <si>
    <t>法人税等充当額</t>
  </si>
  <si>
    <t>当期利益</t>
  </si>
  <si>
    <t>配当金</t>
  </si>
  <si>
    <t>役員賞与</t>
  </si>
  <si>
    <t>仕掛品</t>
  </si>
  <si>
    <t>当期P/L法人税等</t>
  </si>
  <si>
    <t>当期B/S未払法人税等</t>
  </si>
  <si>
    <t>増減仕訳</t>
  </si>
  <si>
    <t>固定資金</t>
  </si>
  <si>
    <t>運転資金</t>
  </si>
  <si>
    <t>財務資金</t>
  </si>
  <si>
    <t>資金の運用</t>
  </si>
  <si>
    <t>借方</t>
  </si>
  <si>
    <t>貸方</t>
  </si>
  <si>
    <t>運用</t>
  </si>
  <si>
    <t>調達</t>
  </si>
  <si>
    <t>配当金支払い</t>
  </si>
  <si>
    <t>役員賞与支払い</t>
  </si>
  <si>
    <t>無形・繰延資産増</t>
  </si>
  <si>
    <t>無形・繰延資産減</t>
  </si>
  <si>
    <t>資金の余剰</t>
  </si>
  <si>
    <t>資金の不足</t>
  </si>
  <si>
    <t>売上債権の増加</t>
  </si>
  <si>
    <t>買入債務の増加</t>
  </si>
  <si>
    <t>棚卸資産の増加</t>
  </si>
  <si>
    <t>貸倒引当増加</t>
  </si>
  <si>
    <t>その他流動資産増</t>
  </si>
  <si>
    <t>買入債務減少</t>
  </si>
  <si>
    <t>その他流動負債減</t>
  </si>
  <si>
    <t>その他流動負債増</t>
  </si>
  <si>
    <t>貸倒引当減少</t>
  </si>
  <si>
    <t>売上債権の減少</t>
  </si>
  <si>
    <t>棚卸資産の減少</t>
  </si>
  <si>
    <t>有価証券等の増加</t>
  </si>
  <si>
    <t>その他流動資産減</t>
  </si>
  <si>
    <t>有価証券等の減少</t>
  </si>
  <si>
    <t>現預金増加</t>
  </si>
  <si>
    <t>短期借入金増加</t>
  </si>
  <si>
    <t>短期借入金減少</t>
  </si>
  <si>
    <t>現預金減少</t>
  </si>
  <si>
    <t>固定資金の不足</t>
  </si>
  <si>
    <t>固定資金の余剰</t>
  </si>
  <si>
    <t>運転資金の不足</t>
  </si>
  <si>
    <t>運転資金の余剰</t>
  </si>
  <si>
    <t>精算表と照合</t>
  </si>
  <si>
    <t>修正仕訳</t>
  </si>
  <si>
    <t>＊法人税等支払額</t>
  </si>
  <si>
    <t>前期B/S未払法人税等＋当期P/L法人税等－当期B/S未払法人税等</t>
  </si>
  <si>
    <t>前期B/S未払法人税等</t>
  </si>
  <si>
    <t>精算表との照合</t>
  </si>
  <si>
    <t>法人税等</t>
  </si>
  <si>
    <t>仮計</t>
  </si>
  <si>
    <t>資金不足（調達）・余剰（運用）</t>
  </si>
  <si>
    <t>差</t>
  </si>
  <si>
    <t>期首仕掛品</t>
  </si>
  <si>
    <t>期末仕掛品</t>
  </si>
  <si>
    <t>貸倒引当金</t>
  </si>
  <si>
    <t>当期売上原価</t>
  </si>
  <si>
    <t>当期売上高</t>
  </si>
  <si>
    <t>営業外収入計</t>
  </si>
  <si>
    <t>営業外支出計</t>
  </si>
  <si>
    <t>経常収入超過</t>
  </si>
  <si>
    <t>経常支出の超過</t>
  </si>
  <si>
    <t>収支差額</t>
  </si>
  <si>
    <t>利益処分支出計</t>
  </si>
  <si>
    <t>特別収入</t>
  </si>
  <si>
    <t>税金支出計</t>
  </si>
  <si>
    <t>固定資産支出計</t>
  </si>
  <si>
    <t>特別支出計</t>
  </si>
  <si>
    <t>固定収入超過</t>
  </si>
  <si>
    <t>固定支出超過</t>
  </si>
  <si>
    <t>前期現預金残高</t>
  </si>
  <si>
    <t>経常収支</t>
  </si>
  <si>
    <t>収入合計</t>
  </si>
  <si>
    <t>固定収支</t>
  </si>
  <si>
    <t>支出合計</t>
  </si>
  <si>
    <t>財務収支</t>
  </si>
  <si>
    <t>当期BS現預金残</t>
  </si>
  <si>
    <t>照合（０でOK）</t>
  </si>
  <si>
    <t>変動費比率</t>
  </si>
  <si>
    <t>固定費比率</t>
  </si>
  <si>
    <t>増資</t>
  </si>
  <si>
    <t>売上債権</t>
  </si>
  <si>
    <t>の支出</t>
  </si>
  <si>
    <t>の収入</t>
  </si>
  <si>
    <t>の増加</t>
  </si>
  <si>
    <t>買入債務</t>
  </si>
  <si>
    <t>割引手形等増加</t>
  </si>
  <si>
    <t>割引手形等減少</t>
  </si>
  <si>
    <t>経常支出</t>
  </si>
  <si>
    <t>の超過</t>
  </si>
  <si>
    <t>経常収入</t>
  </si>
  <si>
    <t>固定支出</t>
  </si>
  <si>
    <t>固定収入</t>
  </si>
  <si>
    <t>の減少</t>
  </si>
  <si>
    <t>未払法人税等</t>
  </si>
  <si>
    <t>資本剰余金</t>
    <rPh sb="0" eb="2">
      <t>シホン</t>
    </rPh>
    <rPh sb="2" eb="5">
      <t>ジョウヨキン</t>
    </rPh>
    <phoneticPr fontId="2"/>
  </si>
  <si>
    <t>資本金</t>
    <rPh sb="0" eb="3">
      <t>シホンキン</t>
    </rPh>
    <phoneticPr fontId="2"/>
  </si>
  <si>
    <t>利益剰余金</t>
    <rPh sb="0" eb="2">
      <t>リエキ</t>
    </rPh>
    <rPh sb="2" eb="5">
      <t>ジョウヨキン</t>
    </rPh>
    <phoneticPr fontId="2"/>
  </si>
  <si>
    <t>F</t>
    <phoneticPr fontId="2"/>
  </si>
  <si>
    <t>期首-期末製品差額(V)</t>
    <rPh sb="5" eb="7">
      <t>セイヒン</t>
    </rPh>
    <phoneticPr fontId="2"/>
  </si>
  <si>
    <t>総資本回転率</t>
    <rPh sb="0" eb="3">
      <t>ソウシホン</t>
    </rPh>
    <rPh sb="3" eb="5">
      <t>カイテン</t>
    </rPh>
    <phoneticPr fontId="2"/>
  </si>
  <si>
    <t>総資本対営業利益率</t>
    <rPh sb="0" eb="1">
      <t>ソウ</t>
    </rPh>
    <phoneticPr fontId="2"/>
  </si>
  <si>
    <t>売上高</t>
    <rPh sb="0" eb="2">
      <t>ウリアゲ</t>
    </rPh>
    <rPh sb="2" eb="3">
      <t>ダカ</t>
    </rPh>
    <phoneticPr fontId="2"/>
  </si>
  <si>
    <t>自己資本</t>
    <rPh sb="0" eb="2">
      <t>ジコ</t>
    </rPh>
    <rPh sb="2" eb="4">
      <t>シホン</t>
    </rPh>
    <phoneticPr fontId="2"/>
  </si>
  <si>
    <t>借入金</t>
    <rPh sb="0" eb="2">
      <t>カリイレ</t>
    </rPh>
    <rPh sb="2" eb="3">
      <t>キン</t>
    </rPh>
    <phoneticPr fontId="2"/>
  </si>
  <si>
    <t>有形固定資産</t>
    <rPh sb="0" eb="2">
      <t>ユウケイ</t>
    </rPh>
    <rPh sb="2" eb="4">
      <t>コテイ</t>
    </rPh>
    <rPh sb="4" eb="6">
      <t>シサン</t>
    </rPh>
    <phoneticPr fontId="2"/>
  </si>
  <si>
    <t>棚卸資産</t>
    <rPh sb="0" eb="2">
      <t>タナオロシ</t>
    </rPh>
    <rPh sb="2" eb="4">
      <t>シサン</t>
    </rPh>
    <phoneticPr fontId="2"/>
  </si>
  <si>
    <t>項目</t>
    <rPh sb="0" eb="2">
      <t>コウモク</t>
    </rPh>
    <phoneticPr fontId="2"/>
  </si>
  <si>
    <t>＊１　固定資金は固定資産の増減、固定負債、資本の増減</t>
    <phoneticPr fontId="2"/>
  </si>
  <si>
    <t>＊２　運転資金は現預金を除く流動資産の増減、短期借入金、割引手形を除く流動負債の増減</t>
    <phoneticPr fontId="2"/>
  </si>
  <si>
    <t>純資産</t>
    <rPh sb="0" eb="3">
      <t>ジュンシサン</t>
    </rPh>
    <phoneticPr fontId="2"/>
  </si>
  <si>
    <t>純資産合計</t>
    <rPh sb="0" eb="3">
      <t>ジュンシサン</t>
    </rPh>
    <phoneticPr fontId="2"/>
  </si>
  <si>
    <t>純資産・負債合計</t>
    <rPh sb="0" eb="3">
      <t>ジュンシサン</t>
    </rPh>
    <phoneticPr fontId="2"/>
  </si>
  <si>
    <t>うち繰越利益剰余金</t>
    <rPh sb="2" eb="4">
      <t>クリコシ</t>
    </rPh>
    <rPh sb="4" eb="6">
      <t>リエキ</t>
    </rPh>
    <rPh sb="6" eb="9">
      <t>ジョウヨキン</t>
    </rPh>
    <phoneticPr fontId="2"/>
  </si>
  <si>
    <t>　未払法人税等増減</t>
    <rPh sb="1" eb="3">
      <t>ミバラ</t>
    </rPh>
    <rPh sb="3" eb="6">
      <t>ホウジンゼイ</t>
    </rPh>
    <rPh sb="6" eb="7">
      <t>トウ</t>
    </rPh>
    <rPh sb="7" eb="9">
      <t>ゾウゲン</t>
    </rPh>
    <phoneticPr fontId="2"/>
  </si>
  <si>
    <t>うち準備金、積立金</t>
    <rPh sb="2" eb="4">
      <t>ジュンビ</t>
    </rPh>
    <rPh sb="4" eb="5">
      <t>キン</t>
    </rPh>
    <rPh sb="6" eb="8">
      <t>ツミタテ</t>
    </rPh>
    <rPh sb="8" eb="9">
      <t>キン</t>
    </rPh>
    <phoneticPr fontId="2"/>
  </si>
  <si>
    <t>他勘定振替高</t>
    <rPh sb="0" eb="1">
      <t>タ</t>
    </rPh>
    <rPh sb="1" eb="3">
      <t>カンジョウ</t>
    </rPh>
    <rPh sb="3" eb="5">
      <t>フリカエ</t>
    </rPh>
    <rPh sb="5" eb="6">
      <t>ダカ</t>
    </rPh>
    <phoneticPr fontId="2"/>
  </si>
  <si>
    <t>法人税等支払い</t>
    <phoneticPr fontId="2"/>
  </si>
  <si>
    <t>製　　造　　原　　価　　報　　告　　書　　（　C　／　R　）</t>
    <phoneticPr fontId="2"/>
  </si>
  <si>
    <t>貸　　借　　対　　照　　表　　（　Ｂ　／　Ｓ　）</t>
    <phoneticPr fontId="2"/>
  </si>
  <si>
    <t>外注加工費</t>
    <rPh sb="0" eb="2">
      <t>ガイチュウ</t>
    </rPh>
    <rPh sb="2" eb="5">
      <t>カコウヒ</t>
    </rPh>
    <phoneticPr fontId="2"/>
  </si>
  <si>
    <t>当期労務費</t>
    <phoneticPr fontId="2"/>
  </si>
  <si>
    <t>借方／貸方照合（0でＯＫ）</t>
    <phoneticPr fontId="2"/>
  </si>
  <si>
    <t>照合（０でOK)</t>
    <rPh sb="0" eb="2">
      <t>ショウゴウ</t>
    </rPh>
    <phoneticPr fontId="2"/>
  </si>
  <si>
    <t>経常利益</t>
    <rPh sb="0" eb="2">
      <t>ケイジョウ</t>
    </rPh>
    <rPh sb="2" eb="4">
      <t>リエキ</t>
    </rPh>
    <phoneticPr fontId="2"/>
  </si>
  <si>
    <t>限界利益ー固定費</t>
    <rPh sb="0" eb="2">
      <t>ゲンカイ</t>
    </rPh>
    <rPh sb="2" eb="4">
      <t>リエキ</t>
    </rPh>
    <rPh sb="5" eb="8">
      <t>コテイヒ</t>
    </rPh>
    <phoneticPr fontId="2"/>
  </si>
  <si>
    <t>販売管理費</t>
    <rPh sb="0" eb="2">
      <t>ハンバイ</t>
    </rPh>
    <rPh sb="2" eb="5">
      <t>カンリヒ</t>
    </rPh>
    <phoneticPr fontId="2"/>
  </si>
  <si>
    <t>営業外支出</t>
    <rPh sb="0" eb="2">
      <t>エイギョウ</t>
    </rPh>
    <rPh sb="2" eb="3">
      <t>ガイ</t>
    </rPh>
    <rPh sb="3" eb="5">
      <t>シシュツ</t>
    </rPh>
    <phoneticPr fontId="2"/>
  </si>
  <si>
    <t>営業外収入</t>
    <rPh sb="0" eb="3">
      <t>エイギョウガイ</t>
    </rPh>
    <rPh sb="3" eb="5">
      <t>シュウニュウ</t>
    </rPh>
    <phoneticPr fontId="2"/>
  </si>
  <si>
    <t>合計</t>
    <rPh sb="0" eb="2">
      <t>ゴウケイ</t>
    </rPh>
    <phoneticPr fontId="2"/>
  </si>
  <si>
    <t>期首－期末仕掛品</t>
    <rPh sb="0" eb="2">
      <t>キシュ</t>
    </rPh>
    <rPh sb="3" eb="5">
      <t>キマツ</t>
    </rPh>
    <rPh sb="5" eb="7">
      <t>シカカリ</t>
    </rPh>
    <rPh sb="7" eb="8">
      <t>ヒン</t>
    </rPh>
    <phoneticPr fontId="2"/>
  </si>
  <si>
    <t>商品仕入高</t>
    <rPh sb="0" eb="2">
      <t>ショウヒン</t>
    </rPh>
    <rPh sb="2" eb="4">
      <t>シイ</t>
    </rPh>
    <rPh sb="4" eb="5">
      <t>タカ</t>
    </rPh>
    <phoneticPr fontId="2"/>
  </si>
  <si>
    <t>期首－期末製品棚卸高</t>
    <rPh sb="0" eb="2">
      <t>キシュ</t>
    </rPh>
    <rPh sb="3" eb="5">
      <t>キマツ</t>
    </rPh>
    <rPh sb="5" eb="7">
      <t>セイヒン</t>
    </rPh>
    <rPh sb="7" eb="9">
      <t>タナオロシ</t>
    </rPh>
    <rPh sb="9" eb="10">
      <t>ダカ</t>
    </rPh>
    <phoneticPr fontId="2"/>
  </si>
  <si>
    <t>材料費</t>
    <rPh sb="0" eb="3">
      <t>ザイリョウヒ</t>
    </rPh>
    <phoneticPr fontId="2"/>
  </si>
  <si>
    <t>変動費の内訳</t>
    <rPh sb="0" eb="2">
      <t>ヘンドウ</t>
    </rPh>
    <rPh sb="2" eb="3">
      <t>ヒ</t>
    </rPh>
    <rPh sb="4" eb="6">
      <t>ウチワケ</t>
    </rPh>
    <phoneticPr fontId="2"/>
  </si>
  <si>
    <t>固定費の内訳</t>
    <rPh sb="0" eb="3">
      <t>コテイヒ</t>
    </rPh>
    <rPh sb="4" eb="6">
      <t>ウチワケ</t>
    </rPh>
    <phoneticPr fontId="2"/>
  </si>
  <si>
    <t>労務費</t>
    <rPh sb="0" eb="3">
      <t>ロウムヒ</t>
    </rPh>
    <phoneticPr fontId="2"/>
  </si>
  <si>
    <t>製造原価</t>
    <rPh sb="0" eb="2">
      <t>セイゾウ</t>
    </rPh>
    <rPh sb="2" eb="4">
      <t>ゲンカ</t>
    </rPh>
    <phoneticPr fontId="2"/>
  </si>
  <si>
    <t>製造原価製造原価</t>
    <rPh sb="0" eb="2">
      <t>セイゾウ</t>
    </rPh>
    <rPh sb="2" eb="4">
      <t>ゲンカ</t>
    </rPh>
    <rPh sb="4" eb="6">
      <t>セイゾウ</t>
    </rPh>
    <rPh sb="6" eb="8">
      <t>ゲンカ</t>
    </rPh>
    <phoneticPr fontId="2"/>
  </si>
  <si>
    <t>固定資産合計</t>
    <rPh sb="0" eb="2">
      <t>コテイ</t>
    </rPh>
    <phoneticPr fontId="2"/>
  </si>
  <si>
    <t>固定資産</t>
    <rPh sb="0" eb="2">
      <t>コテイ</t>
    </rPh>
    <rPh sb="2" eb="4">
      <t>シサン</t>
    </rPh>
    <phoneticPr fontId="2"/>
  </si>
  <si>
    <t>小計</t>
    <rPh sb="0" eb="2">
      <t>ショウケイ</t>
    </rPh>
    <phoneticPr fontId="2"/>
  </si>
  <si>
    <t>当座資産</t>
    <rPh sb="0" eb="2">
      <t>トウザ</t>
    </rPh>
    <rPh sb="2" eb="4">
      <t>シサン</t>
    </rPh>
    <phoneticPr fontId="2"/>
  </si>
  <si>
    <t>資産の部</t>
    <rPh sb="3" eb="4">
      <t>ブ</t>
    </rPh>
    <phoneticPr fontId="2"/>
  </si>
  <si>
    <t>その他流動資産</t>
    <rPh sb="3" eb="5">
      <t>リュウドウ</t>
    </rPh>
    <rPh sb="5" eb="7">
      <t>シサン</t>
    </rPh>
    <phoneticPr fontId="2"/>
  </si>
  <si>
    <t>前年比
増加率</t>
    <phoneticPr fontId="2"/>
  </si>
  <si>
    <t>増減額</t>
    <phoneticPr fontId="2"/>
  </si>
  <si>
    <t>資産合計</t>
    <phoneticPr fontId="2"/>
  </si>
  <si>
    <t>投資等</t>
    <rPh sb="0" eb="2">
      <t>トウシ</t>
    </rPh>
    <rPh sb="2" eb="3">
      <t>ナド</t>
    </rPh>
    <phoneticPr fontId="2"/>
  </si>
  <si>
    <t>棚卸資産小計</t>
    <rPh sb="0" eb="2">
      <t>タナオロシ</t>
    </rPh>
    <rPh sb="2" eb="4">
      <t>シサン</t>
    </rPh>
    <rPh sb="4" eb="6">
      <t>ショウケイ</t>
    </rPh>
    <phoneticPr fontId="2"/>
  </si>
  <si>
    <t>配当金</t>
    <rPh sb="0" eb="3">
      <t>ハイトウキン</t>
    </rPh>
    <phoneticPr fontId="2"/>
  </si>
  <si>
    <t>役員賞与</t>
    <rPh sb="0" eb="2">
      <t>ヤクイン</t>
    </rPh>
    <rPh sb="2" eb="4">
      <t>ショウヨ</t>
    </rPh>
    <phoneticPr fontId="2"/>
  </si>
  <si>
    <t>自己株式（▲）</t>
    <rPh sb="0" eb="2">
      <t>ジコ</t>
    </rPh>
    <rPh sb="2" eb="3">
      <t>カブ</t>
    </rPh>
    <rPh sb="3" eb="4">
      <t>シキ</t>
    </rPh>
    <phoneticPr fontId="2"/>
  </si>
  <si>
    <t>流動負債</t>
    <rPh sb="0" eb="2">
      <t>リュウドウ</t>
    </rPh>
    <rPh sb="2" eb="4">
      <t>フサイ</t>
    </rPh>
    <phoneticPr fontId="2"/>
  </si>
  <si>
    <t>流動負債合計</t>
    <rPh sb="0" eb="2">
      <t>リュウドウ</t>
    </rPh>
    <rPh sb="2" eb="4">
      <t>フサイ</t>
    </rPh>
    <rPh sb="4" eb="6">
      <t>ゴウケイ</t>
    </rPh>
    <phoneticPr fontId="2"/>
  </si>
  <si>
    <t>固定負債合計</t>
    <rPh sb="0" eb="2">
      <t>コテイ</t>
    </rPh>
    <rPh sb="2" eb="4">
      <t>フサイ</t>
    </rPh>
    <rPh sb="4" eb="6">
      <t>ゴウケイ</t>
    </rPh>
    <phoneticPr fontId="2"/>
  </si>
  <si>
    <t>固定負債</t>
    <rPh sb="0" eb="2">
      <t>コテイ</t>
    </rPh>
    <rPh sb="2" eb="4">
      <t>フサイ</t>
    </rPh>
    <phoneticPr fontId="2"/>
  </si>
  <si>
    <t>負債の部</t>
    <rPh sb="3" eb="4">
      <t>ブ</t>
    </rPh>
    <phoneticPr fontId="2"/>
  </si>
  <si>
    <t>純資産合計</t>
    <rPh sb="0" eb="3">
      <t>ジュンシサン</t>
    </rPh>
    <rPh sb="3" eb="5">
      <t>ゴウケイ</t>
    </rPh>
    <phoneticPr fontId="2"/>
  </si>
  <si>
    <t>純資産の部</t>
    <rPh sb="0" eb="3">
      <t>ジュンシサン</t>
    </rPh>
    <rPh sb="4" eb="5">
      <t>ブ</t>
    </rPh>
    <phoneticPr fontId="2"/>
  </si>
  <si>
    <t>資本等</t>
    <rPh sb="0" eb="2">
      <t>シホン</t>
    </rPh>
    <rPh sb="2" eb="3">
      <t>ナド</t>
    </rPh>
    <phoneticPr fontId="2"/>
  </si>
  <si>
    <t>単位：千円</t>
    <rPh sb="0" eb="2">
      <t>タンイ</t>
    </rPh>
    <phoneticPr fontId="2"/>
  </si>
  <si>
    <r>
      <t xml:space="preserve">経常運転資金額
</t>
    </r>
    <r>
      <rPr>
        <sz val="9"/>
        <rFont val="ＭＳ Ｐゴシック"/>
        <family val="3"/>
        <charset val="128"/>
      </rPr>
      <t>（売上債権＋棚卸資産－買入債務）</t>
    </r>
    <rPh sb="0" eb="2">
      <t>ケイジョウ</t>
    </rPh>
    <rPh sb="6" eb="7">
      <t>ガク</t>
    </rPh>
    <phoneticPr fontId="2"/>
  </si>
  <si>
    <t>【集計項目】</t>
    <rPh sb="1" eb="3">
      <t>シュウケイ</t>
    </rPh>
    <rPh sb="3" eb="5">
      <t>コウモク</t>
    </rPh>
    <phoneticPr fontId="2"/>
  </si>
  <si>
    <t>受取手形割引高</t>
    <rPh sb="0" eb="1">
      <t>ウ</t>
    </rPh>
    <rPh sb="1" eb="2">
      <t>ト</t>
    </rPh>
    <rPh sb="2" eb="4">
      <t>テガタ</t>
    </rPh>
    <rPh sb="4" eb="6">
      <t>ワリビキ</t>
    </rPh>
    <rPh sb="6" eb="7">
      <t>ダカ</t>
    </rPh>
    <phoneticPr fontId="2"/>
  </si>
  <si>
    <t>受取手形裏書譲渡高</t>
    <rPh sb="0" eb="1">
      <t>ウ</t>
    </rPh>
    <rPh sb="1" eb="2">
      <t>ト</t>
    </rPh>
    <rPh sb="2" eb="4">
      <t>テガタ</t>
    </rPh>
    <rPh sb="4" eb="6">
      <t>ウラガキ</t>
    </rPh>
    <rPh sb="6" eb="8">
      <t>ジョウト</t>
    </rPh>
    <rPh sb="8" eb="9">
      <t>ダカ</t>
    </rPh>
    <phoneticPr fontId="2"/>
  </si>
  <si>
    <t>製造原価報告書</t>
    <rPh sb="0" eb="2">
      <t>セイゾウ</t>
    </rPh>
    <rPh sb="2" eb="4">
      <t>ゲンカ</t>
    </rPh>
    <rPh sb="4" eb="7">
      <t>ホウコクショ</t>
    </rPh>
    <phoneticPr fontId="2"/>
  </si>
  <si>
    <t>製造経費</t>
    <rPh sb="0" eb="2">
      <t>セイゾウ</t>
    </rPh>
    <rPh sb="2" eb="4">
      <t>ケイヒ</t>
    </rPh>
    <phoneticPr fontId="2"/>
  </si>
  <si>
    <t>損　　益　　計　　算　　書　　（　Ｐ　／　Ｌ　）</t>
    <phoneticPr fontId="2"/>
  </si>
  <si>
    <t>収入</t>
    <rPh sb="0" eb="2">
      <t>シュウニュウ</t>
    </rPh>
    <phoneticPr fontId="2"/>
  </si>
  <si>
    <t>支出</t>
    <rPh sb="0" eb="2">
      <t>シシュツ</t>
    </rPh>
    <phoneticPr fontId="2"/>
  </si>
  <si>
    <t>特別
損益</t>
    <phoneticPr fontId="2"/>
  </si>
  <si>
    <t>従業者計（①＋②）</t>
    <rPh sb="3" eb="4">
      <t>ケイ</t>
    </rPh>
    <phoneticPr fontId="2"/>
  </si>
  <si>
    <t>常用従業員数（ﾊﾟｰﾄも換算）①</t>
    <phoneticPr fontId="2"/>
  </si>
  <si>
    <t>常勤役員数②</t>
    <phoneticPr fontId="2"/>
  </si>
  <si>
    <t>人件費合計</t>
    <rPh sb="3" eb="5">
      <t>ゴウケイ</t>
    </rPh>
    <phoneticPr fontId="2"/>
  </si>
  <si>
    <t>-</t>
    <phoneticPr fontId="2"/>
  </si>
  <si>
    <t>加工高</t>
    <phoneticPr fontId="2"/>
  </si>
  <si>
    <t>減価償却費合計</t>
    <phoneticPr fontId="2"/>
  </si>
  <si>
    <t>-</t>
  </si>
  <si>
    <r>
      <t xml:space="preserve">キャッシュフロー
</t>
    </r>
    <r>
      <rPr>
        <sz val="7"/>
        <rFont val="ＭＳ Ｐゴシック"/>
        <family val="3"/>
        <charset val="128"/>
      </rPr>
      <t>（当期利益＋減価償却費－配当金－役員賞与）</t>
    </r>
    <phoneticPr fontId="2"/>
  </si>
  <si>
    <t>１．損益分岐点分析</t>
    <phoneticPr fontId="2"/>
  </si>
  <si>
    <t>損益分岐点売上高</t>
    <rPh sb="0" eb="2">
      <t>ソンエキ</t>
    </rPh>
    <rPh sb="2" eb="5">
      <t>ブンキテン</t>
    </rPh>
    <phoneticPr fontId="2"/>
  </si>
  <si>
    <t>損益分岐点比率</t>
    <rPh sb="0" eb="2">
      <t>ソンエキ</t>
    </rPh>
    <rPh sb="2" eb="5">
      <t>ブンキテン</t>
    </rPh>
    <phoneticPr fontId="2"/>
  </si>
  <si>
    <t>増減率</t>
    <rPh sb="0" eb="2">
      <t>ゾウゲン</t>
    </rPh>
    <rPh sb="2" eb="3">
      <t>リツ</t>
    </rPh>
    <phoneticPr fontId="2"/>
  </si>
  <si>
    <t>損益分岐点売上高÷売上高</t>
    <rPh sb="0" eb="2">
      <t>ソンエキ</t>
    </rPh>
    <rPh sb="2" eb="5">
      <t>ブンキテン</t>
    </rPh>
    <phoneticPr fontId="2"/>
  </si>
  <si>
    <r>
      <t xml:space="preserve">経営資本額
</t>
    </r>
    <r>
      <rPr>
        <sz val="8"/>
        <rFont val="ＭＳ Ｐゴシック"/>
        <family val="3"/>
        <charset val="128"/>
      </rPr>
      <t>（総資本-建設仮勘定-投資等-繰延資産）</t>
    </r>
    <rPh sb="19" eb="20">
      <t>ナド</t>
    </rPh>
    <rPh sb="21" eb="22">
      <t>ク</t>
    </rPh>
    <rPh sb="22" eb="23">
      <t>ノ</t>
    </rPh>
    <rPh sb="23" eb="25">
      <t>シサン</t>
    </rPh>
    <phoneticPr fontId="2"/>
  </si>
  <si>
    <t>企業名 :</t>
    <phoneticPr fontId="2"/>
  </si>
  <si>
    <t>回転期間合計</t>
    <rPh sb="4" eb="6">
      <t>ゴウケイ</t>
    </rPh>
    <phoneticPr fontId="2"/>
  </si>
  <si>
    <t>平均月商</t>
    <rPh sb="0" eb="2">
      <t>ヘイキン</t>
    </rPh>
    <phoneticPr fontId="2"/>
  </si>
  <si>
    <t>平均月商×回転期間合計</t>
    <rPh sb="0" eb="2">
      <t>ヘイキン</t>
    </rPh>
    <rPh sb="2" eb="4">
      <t>ゲッショウ</t>
    </rPh>
    <rPh sb="5" eb="7">
      <t>カイテン</t>
    </rPh>
    <rPh sb="7" eb="9">
      <t>キカン</t>
    </rPh>
    <rPh sb="9" eb="11">
      <t>ゴウケイ</t>
    </rPh>
    <phoneticPr fontId="2"/>
  </si>
  <si>
    <t>総資本</t>
    <rPh sb="1" eb="3">
      <t>シホン</t>
    </rPh>
    <phoneticPr fontId="2"/>
  </si>
  <si>
    <t>受取手形の内割引・裏書分</t>
    <rPh sb="6" eb="8">
      <t>ワリビキ</t>
    </rPh>
    <rPh sb="9" eb="11">
      <t>ウラガキ</t>
    </rPh>
    <rPh sb="11" eb="12">
      <t>ブン</t>
    </rPh>
    <phoneticPr fontId="2"/>
  </si>
  <si>
    <t>（２）売上と主要ＢＳ科目の推移</t>
    <rPh sb="3" eb="5">
      <t>ウリアゲ</t>
    </rPh>
    <rPh sb="6" eb="8">
      <t>シュヨウ</t>
    </rPh>
    <rPh sb="10" eb="12">
      <t>カモク</t>
    </rPh>
    <rPh sb="13" eb="15">
      <t>スイイ</t>
    </rPh>
    <phoneticPr fontId="2"/>
  </si>
  <si>
    <t>（１）ＢＳの資産・負債・純資産構成</t>
    <rPh sb="6" eb="8">
      <t>シサン</t>
    </rPh>
    <rPh sb="9" eb="11">
      <t>フサイ</t>
    </rPh>
    <rPh sb="12" eb="15">
      <t>ジュンシサン</t>
    </rPh>
    <rPh sb="15" eb="17">
      <t>コウセイ</t>
    </rPh>
    <phoneticPr fontId="2"/>
  </si>
  <si>
    <t>売上高</t>
    <rPh sb="2" eb="3">
      <t>ダカ</t>
    </rPh>
    <phoneticPr fontId="2"/>
  </si>
  <si>
    <t>現預金</t>
    <rPh sb="0" eb="3">
      <t>ゲンヨキン</t>
    </rPh>
    <phoneticPr fontId="2"/>
  </si>
  <si>
    <t>売上債権</t>
    <phoneticPr fontId="2"/>
  </si>
  <si>
    <t>棚卸資産</t>
    <phoneticPr fontId="2"/>
  </si>
  <si>
    <t>買入債務</t>
    <rPh sb="0" eb="2">
      <t>カイイ</t>
    </rPh>
    <phoneticPr fontId="2"/>
  </si>
  <si>
    <t>有形固定資産</t>
    <phoneticPr fontId="2"/>
  </si>
  <si>
    <t>投資等</t>
    <rPh sb="0" eb="3">
      <t>トウシナド</t>
    </rPh>
    <phoneticPr fontId="2"/>
  </si>
  <si>
    <t>貯蔵品他</t>
    <rPh sb="3" eb="4">
      <t>ホカ</t>
    </rPh>
    <phoneticPr fontId="2"/>
  </si>
  <si>
    <t>売上債権額÷月商＝（A）</t>
    <phoneticPr fontId="2"/>
  </si>
  <si>
    <t>棚卸資産額÷月商＝（B）</t>
    <phoneticPr fontId="2"/>
  </si>
  <si>
    <t>買入債務額÷月商＝（C）</t>
    <phoneticPr fontId="2"/>
  </si>
  <si>
    <t>（A）+（B）-（C）</t>
    <phoneticPr fontId="2"/>
  </si>
  <si>
    <t>所要運転資金</t>
    <rPh sb="0" eb="2">
      <t>ショヨウ</t>
    </rPh>
    <phoneticPr fontId="2"/>
  </si>
  <si>
    <t>回転期間（月）</t>
    <phoneticPr fontId="2"/>
  </si>
  <si>
    <t>平均月商</t>
    <rPh sb="0" eb="2">
      <t>ヘイキン</t>
    </rPh>
    <rPh sb="2" eb="4">
      <t>ゲッショウ</t>
    </rPh>
    <phoneticPr fontId="2"/>
  </si>
  <si>
    <t>うち月商増減の影響</t>
    <rPh sb="2" eb="4">
      <t>ゲッショウ</t>
    </rPh>
    <rPh sb="4" eb="6">
      <t>ゾウゲン</t>
    </rPh>
    <rPh sb="7" eb="9">
      <t>エイキョウ</t>
    </rPh>
    <phoneticPr fontId="2"/>
  </si>
  <si>
    <t>うち回転期間の変化の影響</t>
    <rPh sb="2" eb="4">
      <t>カイテン</t>
    </rPh>
    <rPh sb="4" eb="6">
      <t>キカン</t>
    </rPh>
    <rPh sb="7" eb="9">
      <t>ヘンカ</t>
    </rPh>
    <rPh sb="10" eb="12">
      <t>エイキョウ</t>
    </rPh>
    <phoneticPr fontId="2"/>
  </si>
  <si>
    <t>所要運転資金の増減額</t>
    <rPh sb="0" eb="2">
      <t>ショヨウ</t>
    </rPh>
    <rPh sb="2" eb="4">
      <t>ウンテン</t>
    </rPh>
    <rPh sb="4" eb="6">
      <t>シキン</t>
    </rPh>
    <rPh sb="7" eb="10">
      <t>ゾウゲンガク</t>
    </rPh>
    <phoneticPr fontId="2"/>
  </si>
  <si>
    <t>回転期間変化による増減額</t>
    <rPh sb="0" eb="2">
      <t>カイテン</t>
    </rPh>
    <rPh sb="2" eb="4">
      <t>キカン</t>
    </rPh>
    <rPh sb="4" eb="6">
      <t>ヘンカ</t>
    </rPh>
    <rPh sb="9" eb="12">
      <t>ゾウゲンガク</t>
    </rPh>
    <phoneticPr fontId="2"/>
  </si>
  <si>
    <t>うち売上債権分</t>
    <rPh sb="2" eb="4">
      <t>ウリアゲ</t>
    </rPh>
    <rPh sb="4" eb="6">
      <t>サイケン</t>
    </rPh>
    <rPh sb="6" eb="7">
      <t>ブン</t>
    </rPh>
    <phoneticPr fontId="2"/>
  </si>
  <si>
    <t>うち買入債務分</t>
    <rPh sb="2" eb="4">
      <t>カイイレ</t>
    </rPh>
    <rPh sb="4" eb="6">
      <t>サイム</t>
    </rPh>
    <rPh sb="6" eb="7">
      <t>カイブン</t>
    </rPh>
    <phoneticPr fontId="2"/>
  </si>
  <si>
    <t>うち棚卸資産分</t>
    <rPh sb="2" eb="4">
      <t>タナオロシ</t>
    </rPh>
    <rPh sb="4" eb="6">
      <t>シサン</t>
    </rPh>
    <rPh sb="6" eb="7">
      <t>カイブン</t>
    </rPh>
    <phoneticPr fontId="2"/>
  </si>
  <si>
    <t>増減</t>
    <rPh sb="0" eb="2">
      <t>ゾウゲン</t>
    </rPh>
    <phoneticPr fontId="2"/>
  </si>
  <si>
    <r>
      <t xml:space="preserve">前期基準※
</t>
    </r>
    <r>
      <rPr>
        <sz val="11"/>
        <rFont val="HGP創英角ｺﾞｼｯｸUB"/>
        <family val="3"/>
        <charset val="128"/>
      </rPr>
      <t>【C】</t>
    </r>
    <phoneticPr fontId="2"/>
  </si>
  <si>
    <r>
      <t>金額</t>
    </r>
    <r>
      <rPr>
        <sz val="11"/>
        <rFont val="HGP創英角ｺﾞｼｯｸUB"/>
        <family val="3"/>
        <charset val="128"/>
      </rPr>
      <t>【A】</t>
    </r>
    <rPh sb="0" eb="2">
      <t>キンガク</t>
    </rPh>
    <phoneticPr fontId="2"/>
  </si>
  <si>
    <r>
      <t>金額</t>
    </r>
    <r>
      <rPr>
        <sz val="11"/>
        <rFont val="HGP創英角ｺﾞｼｯｸUB"/>
        <family val="3"/>
        <charset val="128"/>
      </rPr>
      <t>【B】</t>
    </r>
    <rPh sb="0" eb="2">
      <t>キンガク</t>
    </rPh>
    <phoneticPr fontId="2"/>
  </si>
  <si>
    <t>◆変動費（Ｖ）・固定費（Ｆ）の分類は製造原価報告書・損益計算書を参照</t>
    <rPh sb="8" eb="11">
      <t>コテイヒ</t>
    </rPh>
    <rPh sb="15" eb="17">
      <t>ブンルイ</t>
    </rPh>
    <rPh sb="18" eb="20">
      <t>セイゾウ</t>
    </rPh>
    <rPh sb="20" eb="22">
      <t>ゲンカ</t>
    </rPh>
    <rPh sb="22" eb="25">
      <t>ホウコクショ</t>
    </rPh>
    <rPh sb="26" eb="28">
      <t>ソンエキ</t>
    </rPh>
    <rPh sb="28" eb="31">
      <t>ケイサンショ</t>
    </rPh>
    <rPh sb="32" eb="34">
      <t>サンショウ</t>
    </rPh>
    <phoneticPr fontId="2"/>
  </si>
  <si>
    <t>【コメント】</t>
    <phoneticPr fontId="2"/>
  </si>
  <si>
    <r>
      <rPr>
        <sz val="10"/>
        <rFont val="ＭＳ Ｐゴシック"/>
        <family val="3"/>
        <charset val="128"/>
      </rPr>
      <t>月商増減の
影響</t>
    </r>
    <r>
      <rPr>
        <sz val="11"/>
        <rFont val="ＭＳ Ｐゴシック"/>
        <family val="3"/>
        <charset val="128"/>
      </rPr>
      <t xml:space="preserve">
</t>
    </r>
    <r>
      <rPr>
        <sz val="11"/>
        <rFont val="HGP創英角ｺﾞｼｯｸUB"/>
        <family val="3"/>
        <charset val="128"/>
      </rPr>
      <t>【C】-【A】</t>
    </r>
    <rPh sb="0" eb="2">
      <t>ゲッショウ</t>
    </rPh>
    <rPh sb="2" eb="4">
      <t>ゾウゲン</t>
    </rPh>
    <rPh sb="6" eb="8">
      <t>エイキョウ</t>
    </rPh>
    <phoneticPr fontId="2"/>
  </si>
  <si>
    <r>
      <rPr>
        <sz val="10"/>
        <rFont val="ＭＳ Ｐゴシック"/>
        <family val="3"/>
        <charset val="128"/>
      </rPr>
      <t>回転期間
変化の影響</t>
    </r>
    <r>
      <rPr>
        <sz val="11"/>
        <rFont val="ＭＳ Ｐゴシック"/>
        <family val="3"/>
        <charset val="128"/>
      </rPr>
      <t xml:space="preserve">
</t>
    </r>
    <r>
      <rPr>
        <sz val="11"/>
        <rFont val="HGP創英角ｺﾞｼｯｸUB"/>
        <family val="3"/>
        <charset val="128"/>
      </rPr>
      <t>【B】-【C】</t>
    </r>
    <rPh sb="0" eb="2">
      <t>カイテン</t>
    </rPh>
    <rPh sb="2" eb="4">
      <t>キカン</t>
    </rPh>
    <rPh sb="5" eb="7">
      <t>ヘンカ</t>
    </rPh>
    <rPh sb="8" eb="10">
      <t>エイキョウ</t>
    </rPh>
    <phoneticPr fontId="2"/>
  </si>
  <si>
    <t>（１）回転期間の変化</t>
    <rPh sb="3" eb="5">
      <t>カイテン</t>
    </rPh>
    <rPh sb="5" eb="7">
      <t>キカン</t>
    </rPh>
    <rPh sb="8" eb="10">
      <t>ヘンカ</t>
    </rPh>
    <phoneticPr fontId="2"/>
  </si>
  <si>
    <t>所要運転資金の増減額</t>
    <rPh sb="0" eb="2">
      <t>ショヨウ</t>
    </rPh>
    <rPh sb="9" eb="10">
      <t>ガク</t>
    </rPh>
    <phoneticPr fontId="2"/>
  </si>
  <si>
    <t>３．運転資金の増減分析</t>
    <rPh sb="7" eb="9">
      <t>ゾウゲン</t>
    </rPh>
    <rPh sb="9" eb="11">
      <t>ブンセキ</t>
    </rPh>
    <phoneticPr fontId="2"/>
  </si>
  <si>
    <t>（２）各期の運転資金変動要因</t>
    <rPh sb="3" eb="5">
      <t>カクキ</t>
    </rPh>
    <rPh sb="6" eb="8">
      <t>ウンテン</t>
    </rPh>
    <rPh sb="8" eb="10">
      <t>シキン</t>
    </rPh>
    <rPh sb="10" eb="12">
      <t>ヘンドウ</t>
    </rPh>
    <rPh sb="12" eb="14">
      <t>ヨウイン</t>
    </rPh>
    <phoneticPr fontId="2"/>
  </si>
  <si>
    <r>
      <rPr>
        <sz val="10"/>
        <rFont val="ＭＳ Ｐゴシック"/>
        <family val="3"/>
        <charset val="128"/>
      </rPr>
      <t>所要運転資金
増減</t>
    </r>
    <r>
      <rPr>
        <sz val="11"/>
        <rFont val="ＭＳ Ｐゴシック"/>
        <family val="3"/>
        <charset val="128"/>
      </rPr>
      <t xml:space="preserve">
</t>
    </r>
    <r>
      <rPr>
        <sz val="11"/>
        <rFont val="HGP創英角ｺﾞｼｯｸUB"/>
        <family val="3"/>
        <charset val="128"/>
      </rPr>
      <t>【B】-【A】</t>
    </r>
    <rPh sb="0" eb="2">
      <t>ショヨウ</t>
    </rPh>
    <rPh sb="2" eb="4">
      <t>ウンテン</t>
    </rPh>
    <rPh sb="4" eb="6">
      <t>シキン</t>
    </rPh>
    <rPh sb="7" eb="9">
      <t>ゾウゲン</t>
    </rPh>
    <phoneticPr fontId="2"/>
  </si>
  <si>
    <t>４．経営分析表　【ＴＫＣ経営指標基準】</t>
    <rPh sb="6" eb="7">
      <t>ヒョウ</t>
    </rPh>
    <rPh sb="12" eb="14">
      <t>ケイエイ</t>
    </rPh>
    <rPh sb="14" eb="16">
      <t>シヒョウ</t>
    </rPh>
    <rPh sb="16" eb="18">
      <t>キジュン</t>
    </rPh>
    <phoneticPr fontId="2"/>
  </si>
  <si>
    <t>総資本経常利益率</t>
    <rPh sb="0" eb="3">
      <t>ソウシホン</t>
    </rPh>
    <rPh sb="3" eb="5">
      <t>ケイジョウ</t>
    </rPh>
    <rPh sb="5" eb="7">
      <t>リエキ</t>
    </rPh>
    <rPh sb="7" eb="8">
      <t>リツ</t>
    </rPh>
    <phoneticPr fontId="2"/>
  </si>
  <si>
    <t>流動資産</t>
    <rPh sb="0" eb="2">
      <t>リュウドウ</t>
    </rPh>
    <rPh sb="2" eb="4">
      <t>シサン</t>
    </rPh>
    <phoneticPr fontId="2"/>
  </si>
  <si>
    <t>総合</t>
    <rPh sb="0" eb="2">
      <t>ソウゴウ</t>
    </rPh>
    <phoneticPr fontId="2"/>
  </si>
  <si>
    <t>資本回転率</t>
    <rPh sb="0" eb="2">
      <t>シホン</t>
    </rPh>
    <rPh sb="2" eb="4">
      <t>カイテン</t>
    </rPh>
    <rPh sb="4" eb="5">
      <t>リツ</t>
    </rPh>
    <phoneticPr fontId="2"/>
  </si>
  <si>
    <t>総資本</t>
    <rPh sb="0" eb="3">
      <t>ソウシホン</t>
    </rPh>
    <phoneticPr fontId="2"/>
  </si>
  <si>
    <t>回転期間</t>
    <rPh sb="0" eb="2">
      <t>カイテン</t>
    </rPh>
    <rPh sb="2" eb="4">
      <t>キカン</t>
    </rPh>
    <phoneticPr fontId="2"/>
  </si>
  <si>
    <t>現金・預金</t>
    <rPh sb="0" eb="2">
      <t>ゲンキン</t>
    </rPh>
    <rPh sb="3" eb="5">
      <t>ヨキン</t>
    </rPh>
    <phoneticPr fontId="2"/>
  </si>
  <si>
    <t>売上債権</t>
    <rPh sb="0" eb="2">
      <t>ウリアゲ</t>
    </rPh>
    <rPh sb="2" eb="4">
      <t>サイケン</t>
    </rPh>
    <phoneticPr fontId="2"/>
  </si>
  <si>
    <t>その他流動資産</t>
    <rPh sb="2" eb="3">
      <t>ホカ</t>
    </rPh>
    <rPh sb="3" eb="5">
      <t>リュウドウ</t>
    </rPh>
    <rPh sb="5" eb="7">
      <t>シサン</t>
    </rPh>
    <phoneticPr fontId="2"/>
  </si>
  <si>
    <t>固定・繰延資産</t>
    <rPh sb="0" eb="2">
      <t>コテイ</t>
    </rPh>
    <rPh sb="3" eb="4">
      <t>ク</t>
    </rPh>
    <rPh sb="4" eb="5">
      <t>ノ</t>
    </rPh>
    <rPh sb="5" eb="7">
      <t>シサン</t>
    </rPh>
    <phoneticPr fontId="2"/>
  </si>
  <si>
    <t>買入債務</t>
    <rPh sb="0" eb="2">
      <t>カイイレ</t>
    </rPh>
    <rPh sb="2" eb="4">
      <t>サイム</t>
    </rPh>
    <phoneticPr fontId="2"/>
  </si>
  <si>
    <t>買入債務（支払基準）</t>
    <rPh sb="0" eb="2">
      <t>カイイレ</t>
    </rPh>
    <rPh sb="2" eb="4">
      <t>サイム</t>
    </rPh>
    <rPh sb="5" eb="7">
      <t>シハライ</t>
    </rPh>
    <rPh sb="7" eb="9">
      <t>キジュン</t>
    </rPh>
    <phoneticPr fontId="2"/>
  </si>
  <si>
    <t>売上高営業利益率</t>
    <rPh sb="0" eb="2">
      <t>ウリアゲ</t>
    </rPh>
    <rPh sb="2" eb="3">
      <t>ダカ</t>
    </rPh>
    <rPh sb="3" eb="5">
      <t>エイギョウ</t>
    </rPh>
    <rPh sb="5" eb="7">
      <t>リエキ</t>
    </rPh>
    <rPh sb="7" eb="8">
      <t>リツ</t>
    </rPh>
    <phoneticPr fontId="2"/>
  </si>
  <si>
    <t>売上高経常利益率</t>
    <rPh sb="0" eb="2">
      <t>ウリアゲ</t>
    </rPh>
    <rPh sb="2" eb="3">
      <t>ダカ</t>
    </rPh>
    <rPh sb="3" eb="5">
      <t>ケイジョウ</t>
    </rPh>
    <rPh sb="5" eb="7">
      <t>リエキ</t>
    </rPh>
    <rPh sb="7" eb="8">
      <t>リツ</t>
    </rPh>
    <phoneticPr fontId="2"/>
  </si>
  <si>
    <t>売上総利益（粗利）</t>
    <rPh sb="0" eb="2">
      <t>ウリアゲ</t>
    </rPh>
    <rPh sb="2" eb="5">
      <t>ソウリエキ</t>
    </rPh>
    <rPh sb="6" eb="8">
      <t>アラリ</t>
    </rPh>
    <phoneticPr fontId="2"/>
  </si>
  <si>
    <t>経費</t>
    <rPh sb="0" eb="2">
      <t>ケイヒ</t>
    </rPh>
    <phoneticPr fontId="2"/>
  </si>
  <si>
    <t>販売管理費率</t>
    <rPh sb="0" eb="2">
      <t>ハンバイ</t>
    </rPh>
    <rPh sb="2" eb="5">
      <t>カンリヒ</t>
    </rPh>
    <rPh sb="5" eb="6">
      <t>リツ</t>
    </rPh>
    <phoneticPr fontId="2"/>
  </si>
  <si>
    <t>販管人件費</t>
    <rPh sb="0" eb="1">
      <t>ハン</t>
    </rPh>
    <rPh sb="1" eb="2">
      <t>カン</t>
    </rPh>
    <rPh sb="2" eb="5">
      <t>ジンケンヒ</t>
    </rPh>
    <phoneticPr fontId="2"/>
  </si>
  <si>
    <t>営業外収益</t>
    <rPh sb="0" eb="2">
      <t>エイギョウ</t>
    </rPh>
    <rPh sb="2" eb="3">
      <t>ソト</t>
    </rPh>
    <rPh sb="3" eb="5">
      <t>シュウエキ</t>
    </rPh>
    <phoneticPr fontId="2"/>
  </si>
  <si>
    <t>営業外費用</t>
    <rPh sb="0" eb="2">
      <t>エイギョウ</t>
    </rPh>
    <rPh sb="2" eb="3">
      <t>ソト</t>
    </rPh>
    <rPh sb="3" eb="5">
      <t>ヒヨウ</t>
    </rPh>
    <phoneticPr fontId="2"/>
  </si>
  <si>
    <t>支払利息割引料</t>
    <rPh sb="0" eb="2">
      <t>シハライ</t>
    </rPh>
    <rPh sb="2" eb="4">
      <t>リソク</t>
    </rPh>
    <rPh sb="4" eb="7">
      <t>ワリビキリョウ</t>
    </rPh>
    <phoneticPr fontId="2"/>
  </si>
  <si>
    <t>売上高利益率</t>
    <rPh sb="0" eb="2">
      <t>ウリアゲ</t>
    </rPh>
    <rPh sb="2" eb="3">
      <t>ダカ</t>
    </rPh>
    <rPh sb="3" eb="5">
      <t>リエキ</t>
    </rPh>
    <rPh sb="5" eb="6">
      <t>リツ</t>
    </rPh>
    <phoneticPr fontId="2"/>
  </si>
  <si>
    <t>対売上高比率</t>
    <rPh sb="0" eb="1">
      <t>タイ</t>
    </rPh>
    <rPh sb="1" eb="3">
      <t>ウリアゲ</t>
    </rPh>
    <rPh sb="3" eb="4">
      <t>ダカ</t>
    </rPh>
    <rPh sb="4" eb="6">
      <t>ヒリツ</t>
    </rPh>
    <phoneticPr fontId="2"/>
  </si>
  <si>
    <t>自己資本利益率（税引前）</t>
    <rPh sb="0" eb="2">
      <t>ジコ</t>
    </rPh>
    <rPh sb="2" eb="4">
      <t>シホン</t>
    </rPh>
    <rPh sb="4" eb="6">
      <t>リエキ</t>
    </rPh>
    <rPh sb="6" eb="7">
      <t>リツ</t>
    </rPh>
    <rPh sb="8" eb="10">
      <t>ゼイビキ</t>
    </rPh>
    <rPh sb="10" eb="11">
      <t>マエ</t>
    </rPh>
    <phoneticPr fontId="2"/>
  </si>
  <si>
    <t>◆収益性分析</t>
    <rPh sb="1" eb="4">
      <t>シュウエキセイ</t>
    </rPh>
    <rPh sb="4" eb="6">
      <t>ブンセキ</t>
    </rPh>
    <phoneticPr fontId="2"/>
  </si>
  <si>
    <t>◆生産性分析</t>
    <rPh sb="1" eb="4">
      <t>セイサンセイ</t>
    </rPh>
    <rPh sb="4" eb="6">
      <t>ブンセキ</t>
    </rPh>
    <phoneticPr fontId="2"/>
  </si>
  <si>
    <t>1人当たり売上高（月）</t>
    <rPh sb="1" eb="2">
      <t>ニン</t>
    </rPh>
    <rPh sb="2" eb="3">
      <t>ア</t>
    </rPh>
    <rPh sb="5" eb="7">
      <t>ウリアゲ</t>
    </rPh>
    <rPh sb="7" eb="8">
      <t>ダカ</t>
    </rPh>
    <rPh sb="9" eb="10">
      <t>ツキ</t>
    </rPh>
    <phoneticPr fontId="2"/>
  </si>
  <si>
    <t>１人当たり人件費（月）</t>
    <rPh sb="0" eb="2">
      <t>ヒトリ</t>
    </rPh>
    <rPh sb="2" eb="3">
      <t>ア</t>
    </rPh>
    <rPh sb="5" eb="8">
      <t>ジンケンヒ</t>
    </rPh>
    <rPh sb="9" eb="10">
      <t>ツキ</t>
    </rPh>
    <phoneticPr fontId="2"/>
  </si>
  <si>
    <t>１人当たり総資本</t>
    <rPh sb="0" eb="2">
      <t>ヒトリ</t>
    </rPh>
    <rPh sb="2" eb="3">
      <t>ア</t>
    </rPh>
    <rPh sb="5" eb="8">
      <t>ソウシホン</t>
    </rPh>
    <phoneticPr fontId="2"/>
  </si>
  <si>
    <t>１人当たり有形固定資産</t>
    <rPh sb="1" eb="2">
      <t>ニン</t>
    </rPh>
    <rPh sb="2" eb="3">
      <t>ア</t>
    </rPh>
    <rPh sb="5" eb="7">
      <t>ユウケイ</t>
    </rPh>
    <rPh sb="7" eb="9">
      <t>コテイ</t>
    </rPh>
    <rPh sb="9" eb="11">
      <t>シサン</t>
    </rPh>
    <phoneticPr fontId="2"/>
  </si>
  <si>
    <t>１人当たり経常利益（月）</t>
    <rPh sb="1" eb="2">
      <t>ニン</t>
    </rPh>
    <rPh sb="2" eb="3">
      <t>ア</t>
    </rPh>
    <rPh sb="5" eb="7">
      <t>ケイジョウ</t>
    </rPh>
    <rPh sb="7" eb="9">
      <t>リエキ</t>
    </rPh>
    <rPh sb="10" eb="11">
      <t>ツキ</t>
    </rPh>
    <phoneticPr fontId="2"/>
  </si>
  <si>
    <t>流動比率</t>
    <rPh sb="0" eb="2">
      <t>リュウドウ</t>
    </rPh>
    <rPh sb="2" eb="4">
      <t>ヒリツ</t>
    </rPh>
    <phoneticPr fontId="2"/>
  </si>
  <si>
    <t>当座比率</t>
    <rPh sb="0" eb="2">
      <t>トウザ</t>
    </rPh>
    <rPh sb="2" eb="4">
      <t>ヒリツ</t>
    </rPh>
    <phoneticPr fontId="2"/>
  </si>
  <si>
    <t>預金対借入金比率</t>
    <rPh sb="0" eb="2">
      <t>ヨキン</t>
    </rPh>
    <rPh sb="2" eb="3">
      <t>タイ</t>
    </rPh>
    <rPh sb="3" eb="5">
      <t>カリイレ</t>
    </rPh>
    <rPh sb="5" eb="6">
      <t>キン</t>
    </rPh>
    <rPh sb="6" eb="8">
      <t>ヒリツ</t>
    </rPh>
    <phoneticPr fontId="2"/>
  </si>
  <si>
    <t>借入金対月商比率</t>
    <rPh sb="0" eb="2">
      <t>カリイレ</t>
    </rPh>
    <rPh sb="2" eb="3">
      <t>キン</t>
    </rPh>
    <rPh sb="3" eb="4">
      <t>タイ</t>
    </rPh>
    <rPh sb="4" eb="6">
      <t>ゲッショウ</t>
    </rPh>
    <rPh sb="6" eb="8">
      <t>ヒリツ</t>
    </rPh>
    <phoneticPr fontId="2"/>
  </si>
  <si>
    <t>固定比率</t>
    <rPh sb="0" eb="2">
      <t>コテイ</t>
    </rPh>
    <rPh sb="2" eb="4">
      <t>ヒリツ</t>
    </rPh>
    <phoneticPr fontId="2"/>
  </si>
  <si>
    <t>固定長期適合率</t>
    <rPh sb="0" eb="2">
      <t>コテイ</t>
    </rPh>
    <rPh sb="2" eb="4">
      <t>チョウキ</t>
    </rPh>
    <rPh sb="4" eb="6">
      <t>テキゴウ</t>
    </rPh>
    <rPh sb="6" eb="7">
      <t>リツ</t>
    </rPh>
    <phoneticPr fontId="2"/>
  </si>
  <si>
    <t>自己資本比率</t>
    <rPh sb="0" eb="2">
      <t>ジコ</t>
    </rPh>
    <rPh sb="2" eb="4">
      <t>シホン</t>
    </rPh>
    <rPh sb="4" eb="6">
      <t>ヒリツ</t>
    </rPh>
    <phoneticPr fontId="2"/>
  </si>
  <si>
    <t>経常収支比率</t>
    <rPh sb="0" eb="2">
      <t>ケイジョウ</t>
    </rPh>
    <rPh sb="2" eb="4">
      <t>シュウシ</t>
    </rPh>
    <rPh sb="4" eb="6">
      <t>ヒリツ</t>
    </rPh>
    <phoneticPr fontId="2"/>
  </si>
  <si>
    <t>実質金利率</t>
    <rPh sb="0" eb="2">
      <t>ジッシツ</t>
    </rPh>
    <rPh sb="2" eb="4">
      <t>キンリ</t>
    </rPh>
    <rPh sb="4" eb="5">
      <t>リツ</t>
    </rPh>
    <phoneticPr fontId="2"/>
  </si>
  <si>
    <t>自己資本額</t>
    <rPh sb="0" eb="2">
      <t>ジコ</t>
    </rPh>
    <rPh sb="2" eb="4">
      <t>シホン</t>
    </rPh>
    <rPh sb="4" eb="5">
      <t>ガク</t>
    </rPh>
    <phoneticPr fontId="2"/>
  </si>
  <si>
    <t>EBITDA</t>
    <phoneticPr fontId="2"/>
  </si>
  <si>
    <t>◆安全性分析</t>
    <rPh sb="1" eb="3">
      <t>アンゼン</t>
    </rPh>
    <rPh sb="3" eb="4">
      <t>セイ</t>
    </rPh>
    <rPh sb="4" eb="6">
      <t>ブンセキ</t>
    </rPh>
    <phoneticPr fontId="2"/>
  </si>
  <si>
    <t>◆債務償還能力</t>
    <rPh sb="1" eb="3">
      <t>サイム</t>
    </rPh>
    <rPh sb="3" eb="5">
      <t>ショウカン</t>
    </rPh>
    <rPh sb="5" eb="7">
      <t>ノウリョク</t>
    </rPh>
    <phoneticPr fontId="2"/>
  </si>
  <si>
    <t>◆成長性分析</t>
    <rPh sb="1" eb="4">
      <t>セイチョウセイ</t>
    </rPh>
    <rPh sb="4" eb="6">
      <t>ブンセキ</t>
    </rPh>
    <phoneticPr fontId="2"/>
  </si>
  <si>
    <t>対前年売上高比率</t>
    <rPh sb="0" eb="1">
      <t>タイ</t>
    </rPh>
    <rPh sb="1" eb="3">
      <t>ゼンネン</t>
    </rPh>
    <rPh sb="3" eb="5">
      <t>ウリアゲ</t>
    </rPh>
    <rPh sb="5" eb="6">
      <t>ダカ</t>
    </rPh>
    <rPh sb="6" eb="8">
      <t>ヒリツ</t>
    </rPh>
    <phoneticPr fontId="2"/>
  </si>
  <si>
    <t>経常利益増加額</t>
    <rPh sb="0" eb="2">
      <t>ケイジョウ</t>
    </rPh>
    <rPh sb="2" eb="4">
      <t>リエキ</t>
    </rPh>
    <rPh sb="4" eb="6">
      <t>ゾウカ</t>
    </rPh>
    <rPh sb="6" eb="7">
      <t>ガク</t>
    </rPh>
    <phoneticPr fontId="2"/>
  </si>
  <si>
    <t>◆損益分岐点分析</t>
    <rPh sb="1" eb="3">
      <t>ソンエキ</t>
    </rPh>
    <rPh sb="3" eb="6">
      <t>ブンキテン</t>
    </rPh>
    <rPh sb="6" eb="8">
      <t>ブンセキ</t>
    </rPh>
    <phoneticPr fontId="2"/>
  </si>
  <si>
    <t>損益分岐点売上高（月）</t>
    <rPh sb="0" eb="2">
      <t>ソンエキ</t>
    </rPh>
    <rPh sb="2" eb="5">
      <t>ブンキテン</t>
    </rPh>
    <rPh sb="5" eb="7">
      <t>ウリアゲ</t>
    </rPh>
    <rPh sb="7" eb="8">
      <t>ダカ</t>
    </rPh>
    <rPh sb="9" eb="10">
      <t>ツキ</t>
    </rPh>
    <phoneticPr fontId="2"/>
  </si>
  <si>
    <t>経営安全率</t>
    <rPh sb="0" eb="2">
      <t>ケイエイ</t>
    </rPh>
    <rPh sb="2" eb="4">
      <t>アンゼン</t>
    </rPh>
    <rPh sb="4" eb="5">
      <t>リツ</t>
    </rPh>
    <phoneticPr fontId="2"/>
  </si>
  <si>
    <t>限界利益率</t>
    <rPh sb="0" eb="2">
      <t>ゲンカイ</t>
    </rPh>
    <rPh sb="2" eb="4">
      <t>リエキ</t>
    </rPh>
    <rPh sb="4" eb="5">
      <t>リツ</t>
    </rPh>
    <phoneticPr fontId="2"/>
  </si>
  <si>
    <t>平均固定費（月）</t>
    <rPh sb="0" eb="2">
      <t>ヘイキン</t>
    </rPh>
    <rPh sb="2" eb="5">
      <t>コテイヒ</t>
    </rPh>
    <rPh sb="6" eb="7">
      <t>ツキ</t>
    </rPh>
    <phoneticPr fontId="2"/>
  </si>
  <si>
    <t>固定費増加率</t>
    <rPh sb="0" eb="3">
      <t>コテイヒ</t>
    </rPh>
    <rPh sb="3" eb="5">
      <t>ゾウカ</t>
    </rPh>
    <rPh sb="5" eb="6">
      <t>リツ</t>
    </rPh>
    <phoneticPr fontId="2"/>
  </si>
  <si>
    <t>１人当たり加工高（月）</t>
    <rPh sb="0" eb="2">
      <t>ヒトリ</t>
    </rPh>
    <rPh sb="2" eb="3">
      <t>ア</t>
    </rPh>
    <rPh sb="5" eb="7">
      <t>カコウ</t>
    </rPh>
    <rPh sb="7" eb="8">
      <t>ダカ</t>
    </rPh>
    <rPh sb="9" eb="10">
      <t>ツキ</t>
    </rPh>
    <phoneticPr fontId="2"/>
  </si>
  <si>
    <t>借入金合計</t>
    <rPh sb="0" eb="2">
      <t>カリイレ</t>
    </rPh>
    <rPh sb="2" eb="3">
      <t>キン</t>
    </rPh>
    <rPh sb="3" eb="5">
      <t>ゴウケイ</t>
    </rPh>
    <phoneticPr fontId="2"/>
  </si>
  <si>
    <t>-</t>
    <phoneticPr fontId="2"/>
  </si>
  <si>
    <t>（うち定期預金）</t>
    <rPh sb="3" eb="5">
      <t>テイキ</t>
    </rPh>
    <rPh sb="5" eb="7">
      <t>ヨキン</t>
    </rPh>
    <phoneticPr fontId="2"/>
  </si>
  <si>
    <t>ギアリング比率（借入金合計÷純資産）</t>
    <rPh sb="5" eb="7">
      <t>ヒリツ</t>
    </rPh>
    <rPh sb="8" eb="10">
      <t>カリイレ</t>
    </rPh>
    <rPh sb="10" eb="11">
      <t>キン</t>
    </rPh>
    <rPh sb="11" eb="13">
      <t>ゴウケイ</t>
    </rPh>
    <rPh sb="14" eb="17">
      <t>ジュンシサン</t>
    </rPh>
    <phoneticPr fontId="2"/>
  </si>
  <si>
    <t>インタレスト・カバレッジ・レシオ</t>
    <phoneticPr fontId="2"/>
  </si>
  <si>
    <t>安全余裕率</t>
    <phoneticPr fontId="2"/>
  </si>
  <si>
    <t>加工高設備生産性（加工高÷有形固定資産）</t>
    <rPh sb="0" eb="2">
      <t>カコウ</t>
    </rPh>
    <rPh sb="2" eb="3">
      <t>ダカ</t>
    </rPh>
    <rPh sb="3" eb="5">
      <t>セツビ</t>
    </rPh>
    <rPh sb="5" eb="8">
      <t>セイサンセイ</t>
    </rPh>
    <rPh sb="9" eb="11">
      <t>カコウ</t>
    </rPh>
    <rPh sb="11" eb="12">
      <t>ダカ</t>
    </rPh>
    <rPh sb="13" eb="15">
      <t>ユウケイ</t>
    </rPh>
    <rPh sb="15" eb="17">
      <t>コテイ</t>
    </rPh>
    <rPh sb="17" eb="19">
      <t>シサン</t>
    </rPh>
    <phoneticPr fontId="2"/>
  </si>
  <si>
    <t>加工高比率（加工高÷売上高）</t>
    <rPh sb="0" eb="2">
      <t>カコウ</t>
    </rPh>
    <rPh sb="2" eb="3">
      <t>ダカ</t>
    </rPh>
    <rPh sb="3" eb="5">
      <t>ヒリツ</t>
    </rPh>
    <rPh sb="6" eb="8">
      <t>カコウ</t>
    </rPh>
    <rPh sb="8" eb="9">
      <t>ダカ</t>
    </rPh>
    <rPh sb="10" eb="12">
      <t>ウリアゲ</t>
    </rPh>
    <rPh sb="12" eb="13">
      <t>ダカ</t>
    </rPh>
    <phoneticPr fontId="2"/>
  </si>
  <si>
    <t>労働分配率（人件費合計÷限界利益）</t>
    <rPh sb="0" eb="2">
      <t>ロウドウ</t>
    </rPh>
    <rPh sb="2" eb="4">
      <t>ブンパイ</t>
    </rPh>
    <rPh sb="4" eb="5">
      <t>リツ</t>
    </rPh>
    <rPh sb="6" eb="9">
      <t>ジンケンヒ</t>
    </rPh>
    <rPh sb="9" eb="11">
      <t>ゴウケイ</t>
    </rPh>
    <rPh sb="12" eb="14">
      <t>ゲンカイ</t>
    </rPh>
    <rPh sb="14" eb="16">
      <t>リエキ</t>
    </rPh>
    <phoneticPr fontId="2"/>
  </si>
  <si>
    <t>業界平均値</t>
    <rPh sb="0" eb="2">
      <t>ギョウカイ</t>
    </rPh>
    <rPh sb="2" eb="4">
      <t>ヘイキン</t>
    </rPh>
    <rPh sb="4" eb="5">
      <t>アタイ</t>
    </rPh>
    <phoneticPr fontId="2"/>
  </si>
  <si>
    <t>売上規模</t>
    <rPh sb="0" eb="2">
      <t>ウリアゲ</t>
    </rPh>
    <rPh sb="2" eb="4">
      <t>キボ</t>
    </rPh>
    <phoneticPr fontId="2"/>
  </si>
  <si>
    <t>対象企業数</t>
    <rPh sb="0" eb="2">
      <t>タイショウ</t>
    </rPh>
    <rPh sb="2" eb="5">
      <t>キギョウスウ</t>
    </rPh>
    <phoneticPr fontId="2"/>
  </si>
  <si>
    <t>平均従業員数</t>
    <rPh sb="0" eb="2">
      <t>ヘイキン</t>
    </rPh>
    <rPh sb="2" eb="5">
      <t>ジュウギョウイン</t>
    </rPh>
    <rPh sb="5" eb="6">
      <t>スウ</t>
    </rPh>
    <phoneticPr fontId="2"/>
  </si>
  <si>
    <t>１社あたり売上</t>
    <rPh sb="1" eb="2">
      <t>シャ</t>
    </rPh>
    <rPh sb="5" eb="7">
      <t>ウリアゲ</t>
    </rPh>
    <phoneticPr fontId="2"/>
  </si>
  <si>
    <t>業界比較　※TKCデータ</t>
    <rPh sb="0" eb="2">
      <t>ギョウカイ</t>
    </rPh>
    <rPh sb="2" eb="4">
      <t>ヒカク</t>
    </rPh>
    <phoneticPr fontId="2"/>
  </si>
  <si>
    <t>※業種分類</t>
    <rPh sb="1" eb="3">
      <t>ギョウシュ</t>
    </rPh>
    <rPh sb="3" eb="5">
      <t>ブンルイ</t>
    </rPh>
    <phoneticPr fontId="2"/>
  </si>
  <si>
    <t>業界平均値
引用</t>
    <rPh sb="0" eb="2">
      <t>ギョウカイ</t>
    </rPh>
    <rPh sb="2" eb="5">
      <t>ヘイキンチ</t>
    </rPh>
    <rPh sb="6" eb="8">
      <t>インヨウ</t>
    </rPh>
    <phoneticPr fontId="2"/>
  </si>
  <si>
    <t>変動費</t>
    <rPh sb="0" eb="2">
      <t>ヘンドウ</t>
    </rPh>
    <rPh sb="2" eb="3">
      <t>ヒ</t>
    </rPh>
    <phoneticPr fontId="2"/>
  </si>
  <si>
    <t>限界利益</t>
    <rPh sb="0" eb="2">
      <t>ゲンカイ</t>
    </rPh>
    <rPh sb="2" eb="4">
      <t>リエキ</t>
    </rPh>
    <phoneticPr fontId="2"/>
  </si>
  <si>
    <t>固定費</t>
    <rPh sb="0" eb="3">
      <t>コテイヒ</t>
    </rPh>
    <phoneticPr fontId="2"/>
  </si>
  <si>
    <t>税率</t>
    <rPh sb="0" eb="2">
      <t>ゼイリツ</t>
    </rPh>
    <phoneticPr fontId="2"/>
  </si>
  <si>
    <t>うち減価償却費</t>
    <rPh sb="2" eb="4">
      <t>ゲンカ</t>
    </rPh>
    <rPh sb="4" eb="6">
      <t>ショウキャク</t>
    </rPh>
    <rPh sb="6" eb="7">
      <t>ヒ</t>
    </rPh>
    <phoneticPr fontId="2"/>
  </si>
  <si>
    <t>キャッシュフロー利益</t>
    <rPh sb="8" eb="10">
      <t>リエキ</t>
    </rPh>
    <phoneticPr fontId="2"/>
  </si>
  <si>
    <t>（限界利益率）</t>
    <rPh sb="1" eb="3">
      <t>ゲンカイ</t>
    </rPh>
    <rPh sb="3" eb="5">
      <t>リエキ</t>
    </rPh>
    <rPh sb="5" eb="6">
      <t>リツ</t>
    </rPh>
    <phoneticPr fontId="2"/>
  </si>
  <si>
    <t>借入返済余力額</t>
    <rPh sb="0" eb="2">
      <t>カリイレ</t>
    </rPh>
    <rPh sb="2" eb="4">
      <t>ヘンサイ</t>
    </rPh>
    <rPh sb="4" eb="6">
      <t>ヨリョク</t>
    </rPh>
    <rPh sb="6" eb="7">
      <t>ガク</t>
    </rPh>
    <phoneticPr fontId="2"/>
  </si>
  <si>
    <t>長期借入返済額</t>
    <rPh sb="0" eb="2">
      <t>チョウキ</t>
    </rPh>
    <rPh sb="2" eb="4">
      <t>カリイレ</t>
    </rPh>
    <rPh sb="4" eb="6">
      <t>ヘンサイ</t>
    </rPh>
    <rPh sb="6" eb="7">
      <t>ガク</t>
    </rPh>
    <phoneticPr fontId="2"/>
  </si>
  <si>
    <t>V</t>
    <phoneticPr fontId="2"/>
  </si>
  <si>
    <t>売上比</t>
    <rPh sb="0" eb="2">
      <t>ウリアゲ</t>
    </rPh>
    <phoneticPr fontId="2"/>
  </si>
  <si>
    <t>（２）新規借入シュミレーション</t>
    <rPh sb="3" eb="5">
      <t>シンキ</t>
    </rPh>
    <rPh sb="5" eb="7">
      <t>カリイレ</t>
    </rPh>
    <phoneticPr fontId="2"/>
  </si>
  <si>
    <t>①　調達・返済条件</t>
    <rPh sb="2" eb="4">
      <t>チョウタツ</t>
    </rPh>
    <rPh sb="5" eb="7">
      <t>ヘンサイ</t>
    </rPh>
    <rPh sb="7" eb="9">
      <t>ジョウケン</t>
    </rPh>
    <phoneticPr fontId="2"/>
  </si>
  <si>
    <t>新規借入金額</t>
    <rPh sb="0" eb="2">
      <t>シンキ</t>
    </rPh>
    <rPh sb="2" eb="4">
      <t>カリイレ</t>
    </rPh>
    <rPh sb="4" eb="6">
      <t>キンガク</t>
    </rPh>
    <phoneticPr fontId="2"/>
  </si>
  <si>
    <t>償還年数</t>
    <rPh sb="0" eb="2">
      <t>ショウカン</t>
    </rPh>
    <rPh sb="2" eb="4">
      <t>ネンスウ</t>
    </rPh>
    <phoneticPr fontId="2"/>
  </si>
  <si>
    <t>新規借入年返済額</t>
    <rPh sb="0" eb="2">
      <t>シンキ</t>
    </rPh>
    <rPh sb="2" eb="4">
      <t>カリイレ</t>
    </rPh>
    <rPh sb="4" eb="5">
      <t>ネン</t>
    </rPh>
    <rPh sb="5" eb="7">
      <t>ヘンサイ</t>
    </rPh>
    <rPh sb="7" eb="8">
      <t>ガク</t>
    </rPh>
    <phoneticPr fontId="2"/>
  </si>
  <si>
    <t>既存借入の年返済額</t>
    <rPh sb="0" eb="2">
      <t>キゾン</t>
    </rPh>
    <rPh sb="2" eb="4">
      <t>カリイレ</t>
    </rPh>
    <rPh sb="5" eb="6">
      <t>ネン</t>
    </rPh>
    <rPh sb="6" eb="8">
      <t>ヘンサイ</t>
    </rPh>
    <rPh sb="8" eb="9">
      <t>ガク</t>
    </rPh>
    <phoneticPr fontId="2"/>
  </si>
  <si>
    <t>返済額合計</t>
    <rPh sb="0" eb="2">
      <t>ヘンサイ</t>
    </rPh>
    <rPh sb="2" eb="3">
      <t>ガク</t>
    </rPh>
    <rPh sb="3" eb="5">
      <t>ゴウケイ</t>
    </rPh>
    <phoneticPr fontId="2"/>
  </si>
  <si>
    <t>②　売上シュミレーション</t>
    <rPh sb="2" eb="4">
      <t>ウリアゲ</t>
    </rPh>
    <phoneticPr fontId="2"/>
  </si>
  <si>
    <t>調整係数</t>
    <rPh sb="0" eb="2">
      <t>チョウセイ</t>
    </rPh>
    <rPh sb="2" eb="4">
      <t>ケイスウ</t>
    </rPh>
    <phoneticPr fontId="2"/>
  </si>
  <si>
    <t>（率）</t>
    <rPh sb="1" eb="2">
      <t>リツ</t>
    </rPh>
    <phoneticPr fontId="2"/>
  </si>
  <si>
    <t>（金額）</t>
    <rPh sb="1" eb="3">
      <t>キンガク</t>
    </rPh>
    <phoneticPr fontId="2"/>
  </si>
  <si>
    <t>-</t>
    <phoneticPr fontId="2"/>
  </si>
  <si>
    <t>-</t>
    <phoneticPr fontId="2"/>
  </si>
  <si>
    <t>売上原価</t>
    <rPh sb="0" eb="2">
      <t>ウリアゲ</t>
    </rPh>
    <rPh sb="2" eb="4">
      <t>ゲンカ</t>
    </rPh>
    <phoneticPr fontId="2"/>
  </si>
  <si>
    <t>当座資産小計</t>
    <rPh sb="0" eb="2">
      <t>トウザ</t>
    </rPh>
    <rPh sb="2" eb="4">
      <t>シサン</t>
    </rPh>
    <rPh sb="4" eb="6">
      <t>ショウケイ</t>
    </rPh>
    <phoneticPr fontId="2"/>
  </si>
  <si>
    <t>その他流動資産小計</t>
    <rPh sb="3" eb="5">
      <t>リュウドウ</t>
    </rPh>
    <rPh sb="5" eb="7">
      <t>シサン</t>
    </rPh>
    <rPh sb="7" eb="9">
      <t>ショウケイ</t>
    </rPh>
    <phoneticPr fontId="2"/>
  </si>
  <si>
    <t>流動資産合計</t>
    <rPh sb="0" eb="2">
      <t>リュウドウ</t>
    </rPh>
    <rPh sb="2" eb="4">
      <t>シサン</t>
    </rPh>
    <rPh sb="4" eb="6">
      <t>ゴウケイ</t>
    </rPh>
    <phoneticPr fontId="2"/>
  </si>
  <si>
    <t>資産の部</t>
    <rPh sb="0" eb="2">
      <t>シサン</t>
    </rPh>
    <rPh sb="3" eb="4">
      <t>ブ</t>
    </rPh>
    <phoneticPr fontId="2"/>
  </si>
  <si>
    <t>有形固定資産小計</t>
    <rPh sb="0" eb="2">
      <t>ユウケイ</t>
    </rPh>
    <rPh sb="2" eb="4">
      <t>コテイ</t>
    </rPh>
    <rPh sb="4" eb="6">
      <t>シサン</t>
    </rPh>
    <rPh sb="6" eb="8">
      <t>ショウケイ</t>
    </rPh>
    <phoneticPr fontId="2"/>
  </si>
  <si>
    <t>無形固定資産</t>
    <rPh sb="0" eb="2">
      <t>ムケイ</t>
    </rPh>
    <rPh sb="2" eb="4">
      <t>コテイ</t>
    </rPh>
    <rPh sb="4" eb="6">
      <t>シサン</t>
    </rPh>
    <phoneticPr fontId="2"/>
  </si>
  <si>
    <t>投資等小計</t>
    <rPh sb="0" eb="3">
      <t>トウシトウ</t>
    </rPh>
    <rPh sb="3" eb="5">
      <t>ショウケイ</t>
    </rPh>
    <phoneticPr fontId="2"/>
  </si>
  <si>
    <t>投資等</t>
    <rPh sb="0" eb="3">
      <t>トウシトウ</t>
    </rPh>
    <phoneticPr fontId="2"/>
  </si>
  <si>
    <t>固定資産</t>
    <phoneticPr fontId="2"/>
  </si>
  <si>
    <t>流動負債</t>
    <phoneticPr fontId="2"/>
  </si>
  <si>
    <t>固定負債</t>
    <phoneticPr fontId="2"/>
  </si>
  <si>
    <t>資本等小計</t>
    <rPh sb="0" eb="3">
      <t>シホンナド</t>
    </rPh>
    <rPh sb="3" eb="5">
      <t>ショウケイ</t>
    </rPh>
    <phoneticPr fontId="2"/>
  </si>
  <si>
    <t>資本等</t>
    <rPh sb="0" eb="3">
      <t>シホンナド</t>
    </rPh>
    <phoneticPr fontId="2"/>
  </si>
  <si>
    <t>増資等</t>
    <rPh sb="0" eb="2">
      <t>ゾウシ</t>
    </rPh>
    <rPh sb="2" eb="3">
      <t>ナド</t>
    </rPh>
    <phoneticPr fontId="2"/>
  </si>
  <si>
    <t>-</t>
    <phoneticPr fontId="2"/>
  </si>
  <si>
    <t>有形固定資産増加</t>
    <rPh sb="0" eb="2">
      <t>ユウケイ</t>
    </rPh>
    <phoneticPr fontId="2"/>
  </si>
  <si>
    <t>有形固定資産減少</t>
    <rPh sb="0" eb="2">
      <t>ユウケイ</t>
    </rPh>
    <phoneticPr fontId="2"/>
  </si>
  <si>
    <t>割引・裏書手形</t>
    <rPh sb="0" eb="2">
      <t>ワリビキ</t>
    </rPh>
    <rPh sb="3" eb="5">
      <t>ウラガキ</t>
    </rPh>
    <rPh sb="5" eb="7">
      <t>テガタ</t>
    </rPh>
    <phoneticPr fontId="2"/>
  </si>
  <si>
    <t>投資等の減少</t>
    <rPh sb="2" eb="3">
      <t>ナド</t>
    </rPh>
    <rPh sb="4" eb="6">
      <t>ゲンショウ</t>
    </rPh>
    <phoneticPr fontId="2"/>
  </si>
  <si>
    <t>投資等の増加</t>
    <rPh sb="2" eb="3">
      <t>ナド</t>
    </rPh>
    <rPh sb="4" eb="6">
      <t>ゾウカ</t>
    </rPh>
    <phoneticPr fontId="2"/>
  </si>
  <si>
    <t>負債の部</t>
    <rPh sb="0" eb="2">
      <t>フサイ</t>
    </rPh>
    <rPh sb="3" eb="4">
      <t>ブ</t>
    </rPh>
    <phoneticPr fontId="2"/>
  </si>
  <si>
    <t>投資等小計</t>
    <rPh sb="0" eb="3">
      <t>トウシナド</t>
    </rPh>
    <rPh sb="3" eb="5">
      <t>ショウケイ</t>
    </rPh>
    <phoneticPr fontId="2"/>
  </si>
  <si>
    <t>未払法人税等増減</t>
    <rPh sb="0" eb="2">
      <t>ミバラ</t>
    </rPh>
    <rPh sb="2" eb="5">
      <t>ホウジンゼイ</t>
    </rPh>
    <rPh sb="5" eb="6">
      <t>トウ</t>
    </rPh>
    <rPh sb="6" eb="8">
      <t>ゾウゲン</t>
    </rPh>
    <phoneticPr fontId="2"/>
  </si>
  <si>
    <t>精算表との照合</t>
    <phoneticPr fontId="2"/>
  </si>
  <si>
    <t>修正</t>
    <rPh sb="0" eb="2">
      <t>シュウセイ</t>
    </rPh>
    <phoneticPr fontId="2"/>
  </si>
  <si>
    <t>【精算表】</t>
    <rPh sb="1" eb="3">
      <t>セイサン</t>
    </rPh>
    <rPh sb="3" eb="4">
      <t>ヒョウ</t>
    </rPh>
    <phoneticPr fontId="2"/>
  </si>
  <si>
    <t>資金の調達</t>
    <phoneticPr fontId="2"/>
  </si>
  <si>
    <t>税引前当期利益①</t>
    <rPh sb="0" eb="1">
      <t>ゼイ</t>
    </rPh>
    <rPh sb="1" eb="2">
      <t>ヒ</t>
    </rPh>
    <rPh sb="2" eb="3">
      <t>マエ</t>
    </rPh>
    <phoneticPr fontId="2"/>
  </si>
  <si>
    <t>減価償却費等②</t>
    <rPh sb="5" eb="6">
      <t>トウ</t>
    </rPh>
    <phoneticPr fontId="2"/>
  </si>
  <si>
    <t>ＣＦ（①＋②）</t>
    <phoneticPr fontId="2"/>
  </si>
  <si>
    <t>固定資金</t>
    <rPh sb="0" eb="2">
      <t>コテイ</t>
    </rPh>
    <rPh sb="2" eb="4">
      <t>シキン</t>
    </rPh>
    <phoneticPr fontId="2"/>
  </si>
  <si>
    <t>財務資金</t>
    <rPh sb="0" eb="2">
      <t>ザイム</t>
    </rPh>
    <rPh sb="2" eb="4">
      <t>シキン</t>
    </rPh>
    <phoneticPr fontId="2"/>
  </si>
  <si>
    <t>借入以外の固定負債減</t>
    <rPh sb="0" eb="2">
      <t>カリイレ</t>
    </rPh>
    <rPh sb="2" eb="4">
      <t>イガイ</t>
    </rPh>
    <phoneticPr fontId="2"/>
  </si>
  <si>
    <t>借入以外の固定負債増</t>
    <rPh sb="0" eb="2">
      <t>カリイレ</t>
    </rPh>
    <phoneticPr fontId="2"/>
  </si>
  <si>
    <t>運転資金</t>
    <rPh sb="0" eb="2">
      <t>ウンテン</t>
    </rPh>
    <rPh sb="2" eb="4">
      <t>シキン</t>
    </rPh>
    <phoneticPr fontId="2"/>
  </si>
  <si>
    <t>単位：千円</t>
    <rPh sb="0" eb="2">
      <t>タンイ</t>
    </rPh>
    <rPh sb="3" eb="5">
      <t>センエン</t>
    </rPh>
    <phoneticPr fontId="2"/>
  </si>
  <si>
    <t>資金の運用</t>
    <phoneticPr fontId="2"/>
  </si>
  <si>
    <t>【コメント】</t>
    <phoneticPr fontId="2"/>
  </si>
  <si>
    <t>【パターン２】</t>
    <phoneticPr fontId="2"/>
  </si>
  <si>
    <t>【パターン３】</t>
    <phoneticPr fontId="2"/>
  </si>
  <si>
    <t>【パターン４】</t>
    <phoneticPr fontId="2"/>
  </si>
  <si>
    <t>５．長期借入返済シミュレーション</t>
    <rPh sb="2" eb="4">
      <t>チョウキ</t>
    </rPh>
    <rPh sb="4" eb="6">
      <t>カリイレ</t>
    </rPh>
    <rPh sb="6" eb="8">
      <t>ヘンサイ</t>
    </rPh>
    <phoneticPr fontId="2"/>
  </si>
  <si>
    <t>（１）過去３期の長期借入返済可能売上高</t>
    <rPh sb="3" eb="5">
      <t>カコ</t>
    </rPh>
    <rPh sb="6" eb="7">
      <t>キ</t>
    </rPh>
    <rPh sb="8" eb="10">
      <t>チョウキ</t>
    </rPh>
    <rPh sb="10" eb="12">
      <t>カリイレ</t>
    </rPh>
    <rPh sb="12" eb="14">
      <t>ヘンサイ</t>
    </rPh>
    <rPh sb="14" eb="16">
      <t>カノウ</t>
    </rPh>
    <rPh sb="16" eb="18">
      <t>ウリアゲ</t>
    </rPh>
    <rPh sb="18" eb="19">
      <t>ダカ</t>
    </rPh>
    <phoneticPr fontId="2"/>
  </si>
  <si>
    <t>営業収入計</t>
    <rPh sb="0" eb="2">
      <t>エイギョウ</t>
    </rPh>
    <phoneticPr fontId="2"/>
  </si>
  <si>
    <t>特別利益</t>
    <rPh sb="0" eb="2">
      <t>トクベツ</t>
    </rPh>
    <rPh sb="2" eb="4">
      <t>リエキ</t>
    </rPh>
    <phoneticPr fontId="2"/>
  </si>
  <si>
    <t>の支出</t>
    <phoneticPr fontId="2"/>
  </si>
  <si>
    <t>経常収支</t>
    <rPh sb="0" eb="2">
      <t>ケイジョウ</t>
    </rPh>
    <rPh sb="2" eb="4">
      <t>シュウシ</t>
    </rPh>
    <phoneticPr fontId="2"/>
  </si>
  <si>
    <t>の支出（▲要因）</t>
    <rPh sb="5" eb="7">
      <t>ヨウイン</t>
    </rPh>
    <phoneticPr fontId="2"/>
  </si>
  <si>
    <r>
      <t>の</t>
    </r>
    <r>
      <rPr>
        <u/>
        <sz val="11"/>
        <rFont val="ＭＳ Ｐゴシック"/>
        <family val="3"/>
        <charset val="128"/>
      </rPr>
      <t>減少</t>
    </r>
    <rPh sb="1" eb="3">
      <t>ゲンショウ</t>
    </rPh>
    <phoneticPr fontId="2"/>
  </si>
  <si>
    <t>営業支出計</t>
    <phoneticPr fontId="2"/>
  </si>
  <si>
    <t>経常支出計</t>
    <rPh sb="0" eb="2">
      <t>ケイジョウ</t>
    </rPh>
    <rPh sb="2" eb="4">
      <t>シシュツ</t>
    </rPh>
    <rPh sb="4" eb="5">
      <t>ケイ</t>
    </rPh>
    <phoneticPr fontId="2"/>
  </si>
  <si>
    <t>経常収入計</t>
    <rPh sb="0" eb="2">
      <t>ケイジョウ</t>
    </rPh>
    <rPh sb="2" eb="4">
      <t>シュウニュウ</t>
    </rPh>
    <rPh sb="4" eb="5">
      <t>ケイ</t>
    </rPh>
    <phoneticPr fontId="2"/>
  </si>
  <si>
    <t>固定支出計</t>
    <rPh sb="4" eb="5">
      <t>ケイ</t>
    </rPh>
    <phoneticPr fontId="2"/>
  </si>
  <si>
    <t>固定収入計</t>
    <rPh sb="0" eb="2">
      <t>コテイ</t>
    </rPh>
    <rPh sb="2" eb="4">
      <t>シュウニュウ</t>
    </rPh>
    <rPh sb="4" eb="5">
      <t>ケイ</t>
    </rPh>
    <phoneticPr fontId="2"/>
  </si>
  <si>
    <t>合計</t>
    <phoneticPr fontId="2"/>
  </si>
  <si>
    <r>
      <rPr>
        <sz val="11"/>
        <rFont val="HGP創英角ｺﾞｼｯｸUB"/>
        <family val="3"/>
        <charset val="128"/>
      </rPr>
      <t xml:space="preserve">経常収支比率 </t>
    </r>
    <r>
      <rPr>
        <sz val="11"/>
        <rFont val="ＭＳ Ｐゴシック"/>
        <family val="3"/>
        <charset val="128"/>
      </rPr>
      <t>（経常収入÷経常支出）</t>
    </r>
    <phoneticPr fontId="2"/>
  </si>
  <si>
    <t>短期借入金</t>
    <rPh sb="0" eb="2">
      <t>タンキ</t>
    </rPh>
    <rPh sb="2" eb="4">
      <t>カリイレ</t>
    </rPh>
    <rPh sb="4" eb="5">
      <t>キン</t>
    </rPh>
    <phoneticPr fontId="2"/>
  </si>
  <si>
    <t>設備支払手形</t>
    <rPh sb="0" eb="2">
      <t>セツビ</t>
    </rPh>
    <rPh sb="2" eb="4">
      <t>シハライ</t>
    </rPh>
    <rPh sb="4" eb="6">
      <t>テガタ</t>
    </rPh>
    <phoneticPr fontId="2"/>
  </si>
  <si>
    <t>投資等</t>
    <rPh sb="0" eb="2">
      <t>トウシ</t>
    </rPh>
    <rPh sb="2" eb="3">
      <t>トウ</t>
    </rPh>
    <phoneticPr fontId="2"/>
  </si>
  <si>
    <t>繰延資産</t>
    <rPh sb="0" eb="2">
      <t>クリノベ</t>
    </rPh>
    <rPh sb="2" eb="4">
      <t>シサン</t>
    </rPh>
    <phoneticPr fontId="2"/>
  </si>
  <si>
    <t>特別損失</t>
    <rPh sb="2" eb="4">
      <t>ソンシツ</t>
    </rPh>
    <phoneticPr fontId="2"/>
  </si>
  <si>
    <t>減価償却費</t>
    <rPh sb="0" eb="2">
      <t>ゲンカ</t>
    </rPh>
    <rPh sb="2" eb="4">
      <t>ショウキャク</t>
    </rPh>
    <rPh sb="4" eb="5">
      <t>ヒ</t>
    </rPh>
    <phoneticPr fontId="2"/>
  </si>
  <si>
    <t>■　資金移動表分析</t>
    <rPh sb="4" eb="6">
      <t>イドウ</t>
    </rPh>
    <phoneticPr fontId="2"/>
  </si>
  <si>
    <t>期末現預金残高</t>
    <rPh sb="1" eb="2">
      <t>マツ</t>
    </rPh>
    <phoneticPr fontId="2"/>
  </si>
  <si>
    <t>【現預金増減との検証】</t>
    <rPh sb="1" eb="2">
      <t>ゲン</t>
    </rPh>
    <rPh sb="2" eb="4">
      <t>ヨキン</t>
    </rPh>
    <rPh sb="4" eb="6">
      <t>ゾウゲン</t>
    </rPh>
    <rPh sb="8" eb="10">
      <t>ケンショウ</t>
    </rPh>
    <phoneticPr fontId="2"/>
  </si>
  <si>
    <t>固定収支</t>
    <rPh sb="0" eb="2">
      <t>コテイ</t>
    </rPh>
    <rPh sb="2" eb="4">
      <t>シュウシ</t>
    </rPh>
    <phoneticPr fontId="2"/>
  </si>
  <si>
    <t>財務収支</t>
    <rPh sb="0" eb="2">
      <t>ザイム</t>
    </rPh>
    <rPh sb="2" eb="4">
      <t>シュウシ</t>
    </rPh>
    <phoneticPr fontId="2"/>
  </si>
  <si>
    <t>【各収支の内訳】</t>
    <rPh sb="1" eb="2">
      <t>カク</t>
    </rPh>
    <rPh sb="2" eb="4">
      <t>シュウシ</t>
    </rPh>
    <rPh sb="5" eb="7">
      <t>ウチワケ</t>
    </rPh>
    <phoneticPr fontId="2"/>
  </si>
  <si>
    <t>【コメント】</t>
    <phoneticPr fontId="2"/>
  </si>
  <si>
    <t>直近期実績</t>
    <rPh sb="0" eb="2">
      <t>チョッキン</t>
    </rPh>
    <rPh sb="2" eb="3">
      <t>キ</t>
    </rPh>
    <rPh sb="3" eb="5">
      <t>ジッセキ</t>
    </rPh>
    <phoneticPr fontId="2"/>
  </si>
  <si>
    <t>１．直近期の部門別売上・利益推定</t>
    <rPh sb="2" eb="4">
      <t>チョッキン</t>
    </rPh>
    <rPh sb="4" eb="5">
      <t>キ</t>
    </rPh>
    <rPh sb="6" eb="8">
      <t>ブモン</t>
    </rPh>
    <rPh sb="8" eb="9">
      <t>ベツ</t>
    </rPh>
    <rPh sb="9" eb="11">
      <t>ウリアゲ</t>
    </rPh>
    <rPh sb="12" eb="14">
      <t>リエキ</t>
    </rPh>
    <rPh sb="14" eb="16">
      <t>スイテイ</t>
    </rPh>
    <phoneticPr fontId="2"/>
  </si>
  <si>
    <r>
      <t xml:space="preserve">合計
</t>
    </r>
    <r>
      <rPr>
        <sz val="9"/>
        <rFont val="ＭＳ Ｐゴシック"/>
        <family val="3"/>
        <charset val="128"/>
      </rPr>
      <t>上段：売上構成
下段：人員数</t>
    </r>
    <rPh sb="0" eb="2">
      <t>ゴウケイ</t>
    </rPh>
    <rPh sb="3" eb="5">
      <t>ジョウダン</t>
    </rPh>
    <rPh sb="6" eb="8">
      <t>ウリアゲ</t>
    </rPh>
    <rPh sb="8" eb="10">
      <t>コウセイ</t>
    </rPh>
    <rPh sb="11" eb="13">
      <t>ゲダン</t>
    </rPh>
    <rPh sb="14" eb="16">
      <t>ジンイン</t>
    </rPh>
    <rPh sb="16" eb="17">
      <t>スウ</t>
    </rPh>
    <phoneticPr fontId="2"/>
  </si>
  <si>
    <t>[パターン①]</t>
    <phoneticPr fontId="2"/>
  </si>
  <si>
    <t>[パターン②]</t>
    <phoneticPr fontId="2"/>
  </si>
  <si>
    <t>部門別売上構成　[上段：部門・商品等区分、中段：売上構成比、下段：人員概算]　←　ヒアリングに基づき設定</t>
    <rPh sb="0" eb="2">
      <t>ブモン</t>
    </rPh>
    <rPh sb="2" eb="3">
      <t>ベツ</t>
    </rPh>
    <rPh sb="3" eb="5">
      <t>ウリアゲ</t>
    </rPh>
    <rPh sb="5" eb="7">
      <t>コウセイ</t>
    </rPh>
    <rPh sb="9" eb="11">
      <t>ジョウダン</t>
    </rPh>
    <rPh sb="12" eb="14">
      <t>ブモン</t>
    </rPh>
    <rPh sb="15" eb="17">
      <t>ショウヒン</t>
    </rPh>
    <rPh sb="17" eb="18">
      <t>ナド</t>
    </rPh>
    <rPh sb="18" eb="20">
      <t>クブン</t>
    </rPh>
    <rPh sb="21" eb="23">
      <t>チュウダン</t>
    </rPh>
    <rPh sb="24" eb="26">
      <t>ウリアゲ</t>
    </rPh>
    <rPh sb="26" eb="28">
      <t>コウセイ</t>
    </rPh>
    <rPh sb="28" eb="29">
      <t>ヒ</t>
    </rPh>
    <rPh sb="30" eb="32">
      <t>ゲダン</t>
    </rPh>
    <rPh sb="33" eb="35">
      <t>ジンイン</t>
    </rPh>
    <rPh sb="35" eb="37">
      <t>ガイサン</t>
    </rPh>
    <rPh sb="47" eb="48">
      <t>モト</t>
    </rPh>
    <rPh sb="50" eb="52">
      <t>セッテイ</t>
    </rPh>
    <phoneticPr fontId="2"/>
  </si>
  <si>
    <t>（差異）</t>
    <rPh sb="1" eb="3">
      <t>サイ</t>
    </rPh>
    <phoneticPr fontId="2"/>
  </si>
  <si>
    <t>人件費</t>
    <rPh sb="0" eb="3">
      <t>ジンケンヒ</t>
    </rPh>
    <phoneticPr fontId="2"/>
  </si>
  <si>
    <t>損益分岐点売上高・率</t>
    <rPh sb="0" eb="2">
      <t>ソンエキ</t>
    </rPh>
    <rPh sb="2" eb="5">
      <t>ブンキテン</t>
    </rPh>
    <rPh sb="5" eb="7">
      <t>ウリアゲ</t>
    </rPh>
    <rPh sb="7" eb="8">
      <t>ダカ</t>
    </rPh>
    <rPh sb="9" eb="10">
      <t>リツ</t>
    </rPh>
    <phoneticPr fontId="2"/>
  </si>
  <si>
    <t>限界利益額・率</t>
    <rPh sb="0" eb="2">
      <t>ゲンカイ</t>
    </rPh>
    <rPh sb="2" eb="4">
      <t>リエキ</t>
    </rPh>
    <rPh sb="4" eb="5">
      <t>ガク</t>
    </rPh>
    <rPh sb="6" eb="7">
      <t>リツ</t>
    </rPh>
    <phoneticPr fontId="2"/>
  </si>
  <si>
    <r>
      <t>B</t>
    </r>
    <r>
      <rPr>
        <sz val="11"/>
        <rFont val="ＭＳ Ｐゴシック"/>
        <family val="3"/>
        <charset val="128"/>
      </rPr>
      <t>EP</t>
    </r>
    <phoneticPr fontId="2"/>
  </si>
  <si>
    <t>【コメント】</t>
    <phoneticPr fontId="2"/>
  </si>
  <si>
    <t>２．部門別売上・コストのシミュレーション</t>
    <rPh sb="2" eb="4">
      <t>ブモン</t>
    </rPh>
    <rPh sb="4" eb="5">
      <t>ベツ</t>
    </rPh>
    <rPh sb="5" eb="7">
      <t>ウリアゲ</t>
    </rPh>
    <phoneticPr fontId="2"/>
  </si>
  <si>
    <r>
      <t xml:space="preserve">１人あたり人件費
</t>
    </r>
    <r>
      <rPr>
        <sz val="10"/>
        <rFont val="ＭＳ Ｐゴシック"/>
        <family val="3"/>
        <charset val="128"/>
      </rPr>
      <t>（直接・間接全て）</t>
    </r>
    <rPh sb="0" eb="2">
      <t>ヒトリ</t>
    </rPh>
    <rPh sb="5" eb="8">
      <t>ジンケンヒ</t>
    </rPh>
    <rPh sb="10" eb="12">
      <t>チョクセツ</t>
    </rPh>
    <rPh sb="13" eb="15">
      <t>カンセツ</t>
    </rPh>
    <rPh sb="15" eb="16">
      <t>スベ</t>
    </rPh>
    <phoneticPr fontId="2"/>
  </si>
  <si>
    <t>↑キャッシュフロー利益が赤字の場合、税率は０を入力</t>
    <rPh sb="9" eb="11">
      <t>リエキ</t>
    </rPh>
    <rPh sb="12" eb="14">
      <t>アカジ</t>
    </rPh>
    <rPh sb="15" eb="17">
      <t>バアイ</t>
    </rPh>
    <rPh sb="18" eb="20">
      <t>ゼイリツ</t>
    </rPh>
    <rPh sb="23" eb="25">
      <t>ニュウリョク</t>
    </rPh>
    <phoneticPr fontId="2"/>
  </si>
  <si>
    <t>長期借入金・社債の減少</t>
    <rPh sb="6" eb="8">
      <t>シャサイ</t>
    </rPh>
    <phoneticPr fontId="2"/>
  </si>
  <si>
    <t>長期借入金・社債の増加</t>
    <rPh sb="6" eb="8">
      <t>シャサイ</t>
    </rPh>
    <phoneticPr fontId="2"/>
  </si>
  <si>
    <t>長期借入金・社債</t>
    <rPh sb="0" eb="2">
      <t>チョウキ</t>
    </rPh>
    <rPh sb="2" eb="4">
      <t>カリイレ</t>
    </rPh>
    <rPh sb="4" eb="5">
      <t>キン</t>
    </rPh>
    <rPh sb="6" eb="8">
      <t>シャサイ</t>
    </rPh>
    <phoneticPr fontId="2"/>
  </si>
  <si>
    <t>うち減価償却費（＋）</t>
    <rPh sb="2" eb="4">
      <t>ゲンカ</t>
    </rPh>
    <rPh sb="4" eb="6">
      <t>ショウキャク</t>
    </rPh>
    <rPh sb="6" eb="7">
      <t>ヒ</t>
    </rPh>
    <phoneticPr fontId="2"/>
  </si>
  <si>
    <t>前年比
増加率</t>
    <phoneticPr fontId="2"/>
  </si>
  <si>
    <t>流動資産</t>
    <phoneticPr fontId="2"/>
  </si>
  <si>
    <t>流動資産合計</t>
    <phoneticPr fontId="2"/>
  </si>
  <si>
    <t>無形固定資産</t>
    <phoneticPr fontId="2"/>
  </si>
  <si>
    <t>繰延資産</t>
    <phoneticPr fontId="2"/>
  </si>
  <si>
    <r>
      <t>当期材料費</t>
    </r>
    <r>
      <rPr>
        <b/>
        <sz val="11"/>
        <rFont val="ＭＳ Ｐゴシック"/>
        <family val="3"/>
        <charset val="128"/>
      </rPr>
      <t>（</t>
    </r>
    <r>
      <rPr>
        <b/>
        <sz val="11"/>
        <color indexed="10"/>
        <rFont val="ＭＳ Ｐゴシック"/>
        <family val="3"/>
        <charset val="128"/>
      </rPr>
      <t>Ｖ</t>
    </r>
    <r>
      <rPr>
        <b/>
        <sz val="11"/>
        <rFont val="ＭＳ Ｐゴシック"/>
        <family val="3"/>
        <charset val="128"/>
      </rPr>
      <t>）</t>
    </r>
    <phoneticPr fontId="2"/>
  </si>
  <si>
    <t>F</t>
    <phoneticPr fontId="2"/>
  </si>
  <si>
    <t>V</t>
    <phoneticPr fontId="2"/>
  </si>
  <si>
    <t>V</t>
    <phoneticPr fontId="2"/>
  </si>
  <si>
    <t>F</t>
    <phoneticPr fontId="2"/>
  </si>
  <si>
    <r>
      <t>期首-期末仕掛品差額</t>
    </r>
    <r>
      <rPr>
        <b/>
        <sz val="11"/>
        <rFont val="ＭＳ Ｐゴシック"/>
        <family val="3"/>
        <charset val="128"/>
      </rPr>
      <t>(</t>
    </r>
    <r>
      <rPr>
        <b/>
        <sz val="11"/>
        <color indexed="10"/>
        <rFont val="ＭＳ Ｐゴシック"/>
        <family val="3"/>
        <charset val="128"/>
      </rPr>
      <t>V</t>
    </r>
    <r>
      <rPr>
        <b/>
        <sz val="11"/>
        <rFont val="ＭＳ Ｐゴシック"/>
        <family val="3"/>
        <charset val="128"/>
      </rPr>
      <t>)</t>
    </r>
    <phoneticPr fontId="2"/>
  </si>
  <si>
    <t>支払利息割引料</t>
    <phoneticPr fontId="2"/>
  </si>
  <si>
    <t>-</t>
    <phoneticPr fontId="2"/>
  </si>
  <si>
    <t>-</t>
    <phoneticPr fontId="2"/>
  </si>
  <si>
    <t>返済可能売上高①</t>
    <rPh sb="0" eb="2">
      <t>ヘンサイ</t>
    </rPh>
    <rPh sb="2" eb="4">
      <t>カノウ</t>
    </rPh>
    <rPh sb="4" eb="6">
      <t>ウリアゲ</t>
    </rPh>
    <rPh sb="6" eb="7">
      <t>ダカ</t>
    </rPh>
    <phoneticPr fontId="2"/>
  </si>
  <si>
    <t>①÷実績売上高</t>
    <rPh sb="2" eb="4">
      <t>ジッセキ</t>
    </rPh>
    <rPh sb="4" eb="6">
      <t>ウリアゲ</t>
    </rPh>
    <rPh sb="6" eb="7">
      <t>ダカ</t>
    </rPh>
    <phoneticPr fontId="2"/>
  </si>
  <si>
    <t>営業外収入</t>
    <rPh sb="0" eb="3">
      <t>エイギョウガイ</t>
    </rPh>
    <rPh sb="3" eb="5">
      <t>シュウニュウ</t>
    </rPh>
    <phoneticPr fontId="2"/>
  </si>
  <si>
    <t>営業外費用</t>
    <rPh sb="0" eb="3">
      <t>エイギョウガイ</t>
    </rPh>
    <rPh sb="3" eb="5">
      <t>ヒヨウ</t>
    </rPh>
    <phoneticPr fontId="2"/>
  </si>
  <si>
    <t>経常利益</t>
    <rPh sb="0" eb="2">
      <t>ケイジョウ</t>
    </rPh>
    <rPh sb="2" eb="4">
      <t>リエキ</t>
    </rPh>
    <phoneticPr fontId="2"/>
  </si>
  <si>
    <t>販管費</t>
    <rPh sb="0" eb="3">
      <t>ハンカンヒ</t>
    </rPh>
    <phoneticPr fontId="2"/>
  </si>
  <si>
    <t>変動費</t>
    <rPh sb="0" eb="3">
      <t>ヘンドウヒ</t>
    </rPh>
    <phoneticPr fontId="2"/>
  </si>
  <si>
    <t>その他</t>
    <rPh sb="2" eb="3">
      <t>ホカハンカン</t>
    </rPh>
    <phoneticPr fontId="2"/>
  </si>
  <si>
    <t>営業外</t>
    <rPh sb="0" eb="3">
      <t>エイギョウガイ</t>
    </rPh>
    <phoneticPr fontId="2"/>
  </si>
  <si>
    <t>販管費</t>
    <rPh sb="0" eb="1">
      <t>ハン</t>
    </rPh>
    <rPh sb="1" eb="2">
      <t>カン</t>
    </rPh>
    <rPh sb="2" eb="3">
      <t>ヒ</t>
    </rPh>
    <phoneticPr fontId="2"/>
  </si>
  <si>
    <t>貸倒償却費</t>
    <rPh sb="2" eb="5">
      <t>ショウキャクヒ</t>
    </rPh>
    <phoneticPr fontId="2"/>
  </si>
  <si>
    <t>建物付属設備</t>
    <rPh sb="0" eb="2">
      <t>タテモノ</t>
    </rPh>
    <rPh sb="2" eb="4">
      <t>フゾク</t>
    </rPh>
    <rPh sb="4" eb="6">
      <t>セツビ</t>
    </rPh>
    <phoneticPr fontId="2"/>
  </si>
  <si>
    <t>構築物</t>
    <rPh sb="0" eb="3">
      <t>コウチクブツ</t>
    </rPh>
    <phoneticPr fontId="2"/>
  </si>
  <si>
    <t>機械装置</t>
    <rPh sb="0" eb="2">
      <t>キカイ</t>
    </rPh>
    <rPh sb="2" eb="4">
      <t>ソウチ</t>
    </rPh>
    <phoneticPr fontId="2"/>
  </si>
  <si>
    <t>車両運搬具</t>
    <rPh sb="0" eb="2">
      <t>シャリョウ</t>
    </rPh>
    <rPh sb="2" eb="5">
      <t>ウンパング</t>
    </rPh>
    <phoneticPr fontId="2"/>
  </si>
  <si>
    <t>什器・備品</t>
    <rPh sb="0" eb="2">
      <t>ジュウキ</t>
    </rPh>
    <rPh sb="3" eb="5">
      <t>ビヒン</t>
    </rPh>
    <phoneticPr fontId="2"/>
  </si>
  <si>
    <t>土地</t>
    <rPh sb="0" eb="2">
      <t>トチ</t>
    </rPh>
    <phoneticPr fontId="2"/>
  </si>
  <si>
    <t>支払手形</t>
    <rPh sb="0" eb="2">
      <t>シハラ</t>
    </rPh>
    <rPh sb="2" eb="4">
      <t>テガタ</t>
    </rPh>
    <phoneticPr fontId="2"/>
  </si>
  <si>
    <t>買掛金</t>
    <rPh sb="0" eb="3">
      <t>カイカケキン</t>
    </rPh>
    <phoneticPr fontId="2"/>
  </si>
  <si>
    <t>短期借入金</t>
    <phoneticPr fontId="2"/>
  </si>
  <si>
    <t>未払消費税</t>
    <rPh sb="0" eb="2">
      <t>ミハラ</t>
    </rPh>
    <rPh sb="2" eb="5">
      <t>ショウヒゼイ</t>
    </rPh>
    <phoneticPr fontId="2"/>
  </si>
  <si>
    <t>社債</t>
    <rPh sb="0" eb="2">
      <t>シャサイ</t>
    </rPh>
    <phoneticPr fontId="2"/>
  </si>
  <si>
    <t>設備支払手形</t>
    <rPh sb="0" eb="2">
      <t>セツビ</t>
    </rPh>
    <rPh sb="2" eb="4">
      <t>シハライ</t>
    </rPh>
    <rPh sb="4" eb="6">
      <t>テガタ</t>
    </rPh>
    <phoneticPr fontId="2"/>
  </si>
  <si>
    <t>売掛金</t>
    <phoneticPr fontId="2"/>
  </si>
  <si>
    <t>受取手形</t>
    <rPh sb="0" eb="2">
      <t>ウケトリ</t>
    </rPh>
    <rPh sb="2" eb="4">
      <t>テガタ</t>
    </rPh>
    <phoneticPr fontId="2"/>
  </si>
  <si>
    <t>V</t>
    <phoneticPr fontId="2"/>
  </si>
  <si>
    <t>特別損失</t>
    <rPh sb="0" eb="2">
      <t>トクベツ</t>
    </rPh>
    <rPh sb="2" eb="4">
      <t>ソンシツ</t>
    </rPh>
    <phoneticPr fontId="2"/>
  </si>
  <si>
    <t>100%-損益分岐点比率</t>
    <rPh sb="10" eb="12">
      <t>ヒリツ</t>
    </rPh>
    <phoneticPr fontId="2"/>
  </si>
  <si>
    <r>
      <t xml:space="preserve">４．その他
</t>
    </r>
    <r>
      <rPr>
        <sz val="9"/>
        <rFont val="HG丸ｺﾞｼｯｸM-PRO"/>
        <family val="3"/>
        <charset val="128"/>
      </rPr>
      <t>（成長性、生産性、その他全般）</t>
    </r>
    <rPh sb="4" eb="5">
      <t>ホカ</t>
    </rPh>
    <rPh sb="7" eb="10">
      <t>セイチョウセイ</t>
    </rPh>
    <rPh sb="11" eb="14">
      <t>セイサンセイ</t>
    </rPh>
    <rPh sb="17" eb="18">
      <t>ホカ</t>
    </rPh>
    <rPh sb="18" eb="20">
      <t>ゼンパン</t>
    </rPh>
    <phoneticPr fontId="2"/>
  </si>
  <si>
    <t>債務償還年数（当期利益ベース）※</t>
    <rPh sb="0" eb="2">
      <t>サイム</t>
    </rPh>
    <rPh sb="2" eb="4">
      <t>ショウカン</t>
    </rPh>
    <rPh sb="4" eb="6">
      <t>ネンスウ</t>
    </rPh>
    <rPh sb="7" eb="9">
      <t>トウキ</t>
    </rPh>
    <rPh sb="9" eb="11">
      <t>リエキ</t>
    </rPh>
    <phoneticPr fontId="2"/>
  </si>
  <si>
    <t>※債務償還年数＝ＴＫＣ指標は営業利益ベースの数値</t>
    <rPh sb="1" eb="3">
      <t>サイム</t>
    </rPh>
    <rPh sb="3" eb="5">
      <t>ショウカン</t>
    </rPh>
    <rPh sb="5" eb="7">
      <t>ネンスウ</t>
    </rPh>
    <rPh sb="11" eb="13">
      <t>シヒョウ</t>
    </rPh>
    <rPh sb="14" eb="16">
      <t>エイギョウ</t>
    </rPh>
    <rPh sb="16" eb="18">
      <t>リエキ</t>
    </rPh>
    <rPh sb="22" eb="24">
      <t>スウチ</t>
    </rPh>
    <phoneticPr fontId="2"/>
  </si>
  <si>
    <t>２．バランスシート分析（貸借対照表の構成比率）</t>
    <rPh sb="9" eb="11">
      <t>ブンセキ</t>
    </rPh>
    <rPh sb="12" eb="14">
      <t>タイシャク</t>
    </rPh>
    <rPh sb="14" eb="17">
      <t>タイショウヒョウ</t>
    </rPh>
    <rPh sb="18" eb="20">
      <t>コウセイ</t>
    </rPh>
    <rPh sb="20" eb="22">
      <t>ヒリツ</t>
    </rPh>
    <phoneticPr fontId="2"/>
  </si>
  <si>
    <r>
      <t xml:space="preserve">３．財務バランス、安全性等
</t>
    </r>
    <r>
      <rPr>
        <sz val="9"/>
        <rFont val="HG丸ｺﾞｼｯｸM-PRO"/>
        <family val="3"/>
        <charset val="128"/>
      </rPr>
      <t>（流動・固定のバランス、自己資本比率、債務償還年数等）</t>
    </r>
    <rPh sb="2" eb="4">
      <t>ザイム</t>
    </rPh>
    <rPh sb="9" eb="12">
      <t>アンゼンセイ</t>
    </rPh>
    <rPh sb="12" eb="13">
      <t>ナド</t>
    </rPh>
    <rPh sb="15" eb="17">
      <t>リュウドウ</t>
    </rPh>
    <rPh sb="18" eb="20">
      <t>コテイ</t>
    </rPh>
    <rPh sb="26" eb="28">
      <t>ジコ</t>
    </rPh>
    <rPh sb="28" eb="30">
      <t>シホン</t>
    </rPh>
    <rPh sb="30" eb="32">
      <t>ヒリツ</t>
    </rPh>
    <rPh sb="33" eb="35">
      <t>サイム</t>
    </rPh>
    <rPh sb="35" eb="37">
      <t>ショウカン</t>
    </rPh>
    <rPh sb="37" eb="39">
      <t>ネンスウ</t>
    </rPh>
    <rPh sb="39" eb="40">
      <t>ナド</t>
    </rPh>
    <phoneticPr fontId="2"/>
  </si>
  <si>
    <r>
      <t xml:space="preserve">１．収益面
</t>
    </r>
    <r>
      <rPr>
        <sz val="9"/>
        <rFont val="HG丸ｺﾞｼｯｸM-PRO"/>
        <family val="3"/>
        <charset val="128"/>
      </rPr>
      <t>（総資本利益率、売上利益率、資産回転期間（効率性）、損益分岐点分析等）</t>
    </r>
    <rPh sb="2" eb="4">
      <t>シュウエキ</t>
    </rPh>
    <rPh sb="4" eb="5">
      <t>メン</t>
    </rPh>
    <rPh sb="7" eb="10">
      <t>ソウシホン</t>
    </rPh>
    <rPh sb="10" eb="12">
      <t>リエキ</t>
    </rPh>
    <rPh sb="12" eb="13">
      <t>リツ</t>
    </rPh>
    <rPh sb="14" eb="16">
      <t>ウリアゲ</t>
    </rPh>
    <rPh sb="16" eb="18">
      <t>リエキ</t>
    </rPh>
    <rPh sb="18" eb="19">
      <t>リツ</t>
    </rPh>
    <rPh sb="20" eb="22">
      <t>シサン</t>
    </rPh>
    <rPh sb="22" eb="24">
      <t>カイテン</t>
    </rPh>
    <rPh sb="24" eb="26">
      <t>キカン</t>
    </rPh>
    <rPh sb="27" eb="30">
      <t>コウリツセイ</t>
    </rPh>
    <rPh sb="32" eb="37">
      <t>ソンエキブンキテン</t>
    </rPh>
    <rPh sb="37" eb="39">
      <t>ブンセキ</t>
    </rPh>
    <rPh sb="39" eb="40">
      <t>ナド</t>
    </rPh>
    <phoneticPr fontId="2"/>
  </si>
  <si>
    <r>
      <t xml:space="preserve">２．資金面
</t>
    </r>
    <r>
      <rPr>
        <sz val="9"/>
        <rFont val="HG丸ｺﾞｼｯｸM-PRO"/>
        <family val="3"/>
        <charset val="128"/>
      </rPr>
      <t>（運転資金分析、資金運用表＆移動表、長期借入返済能力等）</t>
    </r>
    <rPh sb="2" eb="4">
      <t>シキン</t>
    </rPh>
    <rPh sb="4" eb="5">
      <t>メン</t>
    </rPh>
    <rPh sb="7" eb="9">
      <t>ウンテン</t>
    </rPh>
    <rPh sb="9" eb="11">
      <t>シキン</t>
    </rPh>
    <rPh sb="11" eb="13">
      <t>ブンセキ</t>
    </rPh>
    <rPh sb="14" eb="16">
      <t>シキン</t>
    </rPh>
    <rPh sb="16" eb="19">
      <t>ウンヨウヒョウ</t>
    </rPh>
    <rPh sb="20" eb="23">
      <t>イドウヒョウ</t>
    </rPh>
    <rPh sb="24" eb="26">
      <t>チョウキ</t>
    </rPh>
    <rPh sb="26" eb="28">
      <t>カリイレ</t>
    </rPh>
    <rPh sb="28" eb="30">
      <t>ヘンサイ</t>
    </rPh>
    <rPh sb="30" eb="32">
      <t>ノウリョク</t>
    </rPh>
    <rPh sb="32" eb="33">
      <t>ナド</t>
    </rPh>
    <phoneticPr fontId="2"/>
  </si>
  <si>
    <t>【財務分析結果のまとめ】</t>
    <rPh sb="1" eb="3">
      <t>ザイム</t>
    </rPh>
    <rPh sb="3" eb="5">
      <t>ブンセキ</t>
    </rPh>
    <rPh sb="5" eb="7">
      <t>ケッカ</t>
    </rPh>
    <phoneticPr fontId="2"/>
  </si>
  <si>
    <r>
      <t xml:space="preserve">５．所見
</t>
    </r>
    <r>
      <rPr>
        <sz val="9"/>
        <rFont val="HG丸ｺﾞｼｯｸM-PRO"/>
        <family val="3"/>
        <charset val="128"/>
      </rPr>
      <t>（業界比での特徴、３期の推移傾向、長所・リスクの把握、課題（仮説）の検証等）</t>
    </r>
    <rPh sb="2" eb="4">
      <t>ショケン</t>
    </rPh>
    <rPh sb="6" eb="8">
      <t>ギョウカイ</t>
    </rPh>
    <rPh sb="8" eb="9">
      <t>ヒ</t>
    </rPh>
    <rPh sb="11" eb="13">
      <t>トクチョウ</t>
    </rPh>
    <rPh sb="15" eb="16">
      <t>キ</t>
    </rPh>
    <rPh sb="17" eb="19">
      <t>スイイ</t>
    </rPh>
    <rPh sb="19" eb="21">
      <t>ケイコウ</t>
    </rPh>
    <rPh sb="22" eb="24">
      <t>チョウショ</t>
    </rPh>
    <rPh sb="29" eb="31">
      <t>ハアク</t>
    </rPh>
    <rPh sb="32" eb="34">
      <t>カダイ</t>
    </rPh>
    <rPh sb="35" eb="37">
      <t>カセツ</t>
    </rPh>
    <rPh sb="39" eb="41">
      <t>ケンショウ</t>
    </rPh>
    <rPh sb="41" eb="42">
      <t>ナド</t>
    </rPh>
    <phoneticPr fontId="2"/>
  </si>
  <si>
    <t>製品・商品</t>
    <rPh sb="0" eb="2">
      <t>セイヒン</t>
    </rPh>
    <rPh sb="3" eb="5">
      <t>ショウヒン</t>
    </rPh>
    <phoneticPr fontId="2"/>
  </si>
  <si>
    <t>期首製品・商品棚高</t>
    <rPh sb="5" eb="7">
      <t>ショウヒン</t>
    </rPh>
    <phoneticPr fontId="2"/>
  </si>
  <si>
    <t>期末製品・商品棚卸高</t>
    <rPh sb="5" eb="7">
      <t>ショウヒン</t>
    </rPh>
    <phoneticPr fontId="2"/>
  </si>
  <si>
    <r>
      <t xml:space="preserve">営業外収支
</t>
    </r>
    <r>
      <rPr>
        <sz val="8"/>
        <rFont val="ＭＳ Ｐゴシック"/>
        <family val="3"/>
        <charset val="128"/>
      </rPr>
      <t>(支出―収入＝</t>
    </r>
    <r>
      <rPr>
        <b/>
        <sz val="10"/>
        <color rgb="FFFF0000"/>
        <rFont val="ＭＳ Ｐゴシック"/>
        <family val="3"/>
        <charset val="128"/>
      </rPr>
      <t>Ｆ</t>
    </r>
    <r>
      <rPr>
        <sz val="8"/>
        <rFont val="ＭＳ Ｐゴシック"/>
        <family val="3"/>
        <charset val="128"/>
      </rPr>
      <t>）</t>
    </r>
    <rPh sb="3" eb="5">
      <t>シュウシ</t>
    </rPh>
    <rPh sb="7" eb="9">
      <t>シシュツ</t>
    </rPh>
    <rPh sb="10" eb="12">
      <t>シュウニュウ</t>
    </rPh>
    <phoneticPr fontId="2"/>
  </si>
  <si>
    <t>-</t>
    <phoneticPr fontId="2"/>
  </si>
  <si>
    <t>■　変動ＰＬによる将来シミュレーション</t>
    <rPh sb="2" eb="4">
      <t>ヘンドウ</t>
    </rPh>
    <rPh sb="9" eb="11">
      <t>ショウライ</t>
    </rPh>
    <phoneticPr fontId="2"/>
  </si>
  <si>
    <t>単位：千円</t>
    <rPh sb="0" eb="2">
      <t>タンイ</t>
    </rPh>
    <rPh sb="3" eb="5">
      <t>センエン</t>
    </rPh>
    <phoneticPr fontId="2"/>
  </si>
  <si>
    <t>計画</t>
    <rPh sb="0" eb="2">
      <t>ケイカク</t>
    </rPh>
    <phoneticPr fontId="2"/>
  </si>
  <si>
    <t>計画1期</t>
    <rPh sb="0" eb="2">
      <t>ケイカク</t>
    </rPh>
    <rPh sb="3" eb="4">
      <t>キ</t>
    </rPh>
    <phoneticPr fontId="2"/>
  </si>
  <si>
    <t>計画2期</t>
    <rPh sb="0" eb="2">
      <t>ケイカク</t>
    </rPh>
    <rPh sb="3" eb="4">
      <t>キ</t>
    </rPh>
    <phoneticPr fontId="2"/>
  </si>
  <si>
    <t>計画3期</t>
    <rPh sb="0" eb="2">
      <t>ケイカク</t>
    </rPh>
    <rPh sb="3" eb="4">
      <t>キ</t>
    </rPh>
    <phoneticPr fontId="2"/>
  </si>
  <si>
    <t>計画4期</t>
    <rPh sb="0" eb="2">
      <t>ケイカク</t>
    </rPh>
    <rPh sb="3" eb="4">
      <t>キ</t>
    </rPh>
    <phoneticPr fontId="2"/>
  </si>
  <si>
    <t>計画5期</t>
    <rPh sb="0" eb="2">
      <t>ケイカク</t>
    </rPh>
    <rPh sb="3" eb="4">
      <t>キ</t>
    </rPh>
    <phoneticPr fontId="2"/>
  </si>
  <si>
    <t>売上高</t>
    <rPh sb="0" eb="2">
      <t>ウリアゲ</t>
    </rPh>
    <rPh sb="2" eb="3">
      <t>ダカ</t>
    </rPh>
    <phoneticPr fontId="2"/>
  </si>
  <si>
    <t>変動労務費</t>
    <rPh sb="0" eb="2">
      <t>ヘンドウ</t>
    </rPh>
    <rPh sb="2" eb="5">
      <t>ロウムヒ</t>
    </rPh>
    <phoneticPr fontId="2"/>
  </si>
  <si>
    <t>損益分岐点売上高</t>
    <rPh sb="0" eb="5">
      <t>ソンエキブンキテン</t>
    </rPh>
    <rPh sb="5" eb="8">
      <t>ウリアゲダカ</t>
    </rPh>
    <phoneticPr fontId="2"/>
  </si>
  <si>
    <t>外注費</t>
    <rPh sb="0" eb="2">
      <t>ガイチュウ</t>
    </rPh>
    <phoneticPr fontId="2"/>
  </si>
  <si>
    <t>変動費</t>
    <rPh sb="0" eb="3">
      <t>ヘンドウヒ</t>
    </rPh>
    <phoneticPr fontId="2"/>
  </si>
  <si>
    <t>経費他</t>
    <rPh sb="0" eb="2">
      <t>ケイヒ</t>
    </rPh>
    <rPh sb="2" eb="3">
      <t>ホカ</t>
    </rPh>
    <phoneticPr fontId="2"/>
  </si>
  <si>
    <t>固定費</t>
    <rPh sb="0" eb="3">
      <t>コテイヒ</t>
    </rPh>
    <phoneticPr fontId="2"/>
  </si>
  <si>
    <t>商品仕入</t>
    <rPh sb="0" eb="2">
      <t>ショウヒン</t>
    </rPh>
    <rPh sb="2" eb="4">
      <t>シイ</t>
    </rPh>
    <phoneticPr fontId="2"/>
  </si>
  <si>
    <t>限界利益率</t>
    <rPh sb="0" eb="2">
      <t>ゲンカイ</t>
    </rPh>
    <rPh sb="2" eb="5">
      <t>リエキリツ</t>
    </rPh>
    <phoneticPr fontId="2"/>
  </si>
  <si>
    <t>棚卸資産増減</t>
    <rPh sb="0" eb="2">
      <t>タナオロシ</t>
    </rPh>
    <rPh sb="2" eb="4">
      <t>シサン</t>
    </rPh>
    <rPh sb="4" eb="6">
      <t>ゾウゲン</t>
    </rPh>
    <phoneticPr fontId="2"/>
  </si>
  <si>
    <t>損益分岐点比率</t>
    <rPh sb="0" eb="5">
      <t>ソンエキブンキテン</t>
    </rPh>
    <rPh sb="5" eb="7">
      <t>ヒリツ</t>
    </rPh>
    <phoneticPr fontId="2"/>
  </si>
  <si>
    <t>固定労務費</t>
    <rPh sb="0" eb="2">
      <t>コテイ</t>
    </rPh>
    <rPh sb="2" eb="5">
      <t>ロウムヒ</t>
    </rPh>
    <phoneticPr fontId="2"/>
  </si>
  <si>
    <t>その他販管費</t>
    <rPh sb="2" eb="3">
      <t>ホカ</t>
    </rPh>
    <rPh sb="3" eb="4">
      <t>ハン</t>
    </rPh>
    <rPh sb="4" eb="5">
      <t>カン</t>
    </rPh>
    <rPh sb="5" eb="6">
      <t>ヒ</t>
    </rPh>
    <phoneticPr fontId="2"/>
  </si>
  <si>
    <t>支払利息</t>
    <rPh sb="0" eb="2">
      <t>シハライ</t>
    </rPh>
    <rPh sb="2" eb="4">
      <t>リソク</t>
    </rPh>
    <phoneticPr fontId="2"/>
  </si>
  <si>
    <t>その他収支</t>
    <rPh sb="2" eb="3">
      <t>ホカ</t>
    </rPh>
    <rPh sb="3" eb="5">
      <t>シュウシ</t>
    </rPh>
    <phoneticPr fontId="2"/>
  </si>
  <si>
    <t>税引前利益</t>
    <rPh sb="0" eb="2">
      <t>ゼイビキ</t>
    </rPh>
    <rPh sb="2" eb="3">
      <t>マエ</t>
    </rPh>
    <rPh sb="3" eb="5">
      <t>リエキ</t>
    </rPh>
    <phoneticPr fontId="2"/>
  </si>
  <si>
    <t>法人税等</t>
    <rPh sb="0" eb="3">
      <t>ホウジンゼイ</t>
    </rPh>
    <rPh sb="3" eb="4">
      <t>ナド</t>
    </rPh>
    <phoneticPr fontId="2"/>
  </si>
  <si>
    <t>法人税等調整額</t>
    <rPh sb="0" eb="3">
      <t>ホウジンゼイ</t>
    </rPh>
    <rPh sb="3" eb="4">
      <t>ナド</t>
    </rPh>
    <rPh sb="4" eb="6">
      <t>チョウセイ</t>
    </rPh>
    <rPh sb="6" eb="7">
      <t>ガク</t>
    </rPh>
    <phoneticPr fontId="2"/>
  </si>
  <si>
    <t>税引後利益</t>
    <rPh sb="0" eb="2">
      <t>ゼイビキ</t>
    </rPh>
    <rPh sb="2" eb="3">
      <t>ゴ</t>
    </rPh>
    <rPh sb="3" eb="5">
      <t>リエキ</t>
    </rPh>
    <phoneticPr fontId="2"/>
  </si>
  <si>
    <t>キャッシュフロー</t>
    <phoneticPr fontId="2"/>
  </si>
  <si>
    <t>損益分岐点売上高／比率
（経常利益ベース）</t>
    <rPh sb="0" eb="2">
      <t>ソンエキ</t>
    </rPh>
    <rPh sb="2" eb="5">
      <t>ブンキテン</t>
    </rPh>
    <rPh sb="5" eb="7">
      <t>ウリアゲ</t>
    </rPh>
    <rPh sb="7" eb="8">
      <t>ダカ</t>
    </rPh>
    <rPh sb="9" eb="11">
      <t>ヒリツ</t>
    </rPh>
    <rPh sb="13" eb="15">
      <t>ケイジョウ</t>
    </rPh>
    <rPh sb="15" eb="17">
      <t>リエキ</t>
    </rPh>
    <phoneticPr fontId="2"/>
  </si>
  <si>
    <t>【限界利益率・損益分岐点比率の推移】</t>
    <rPh sb="1" eb="3">
      <t>ゲンカイ</t>
    </rPh>
    <rPh sb="3" eb="5">
      <t>リエキ</t>
    </rPh>
    <rPh sb="5" eb="6">
      <t>リツ</t>
    </rPh>
    <rPh sb="7" eb="12">
      <t>ソンエキブンキテン</t>
    </rPh>
    <rPh sb="12" eb="14">
      <t>ヒリツ</t>
    </rPh>
    <rPh sb="15" eb="17">
      <t>スイイ</t>
    </rPh>
    <phoneticPr fontId="2"/>
  </si>
  <si>
    <t>■　入力項目</t>
    <rPh sb="2" eb="4">
      <t>ニュウリョク</t>
    </rPh>
    <rPh sb="4" eb="6">
      <t>コウモク</t>
    </rPh>
    <phoneticPr fontId="2"/>
  </si>
  <si>
    <t>【売上予測】</t>
    <rPh sb="1" eb="3">
      <t>ウリアゲ</t>
    </rPh>
    <rPh sb="3" eb="5">
      <t>ヨソク</t>
    </rPh>
    <phoneticPr fontId="2"/>
  </si>
  <si>
    <t>(増減率）</t>
    <rPh sb="1" eb="3">
      <t>ゾウゲン</t>
    </rPh>
    <rPh sb="3" eb="4">
      <t>リツ</t>
    </rPh>
    <phoneticPr fontId="2"/>
  </si>
  <si>
    <t>【変動費率調整】</t>
    <rPh sb="1" eb="3">
      <t>ヘンドウ</t>
    </rPh>
    <rPh sb="3" eb="4">
      <t>ヒ</t>
    </rPh>
    <rPh sb="4" eb="5">
      <t>リツ</t>
    </rPh>
    <rPh sb="5" eb="7">
      <t>チョウセイ</t>
    </rPh>
    <phoneticPr fontId="2"/>
  </si>
  <si>
    <t>（増減率）</t>
    <rPh sb="1" eb="3">
      <t>ゾウゲン</t>
    </rPh>
    <rPh sb="3" eb="4">
      <t>リツ</t>
    </rPh>
    <phoneticPr fontId="2"/>
  </si>
  <si>
    <t>外注費</t>
    <rPh sb="0" eb="3">
      <t>ガイチュウヒ</t>
    </rPh>
    <phoneticPr fontId="2"/>
  </si>
  <si>
    <t>商品仕入</t>
    <rPh sb="0" eb="2">
      <t>ショウヒン</t>
    </rPh>
    <rPh sb="2" eb="4">
      <t>シイレ</t>
    </rPh>
    <phoneticPr fontId="2"/>
  </si>
  <si>
    <t>【棚卸資産増減】</t>
    <rPh sb="1" eb="3">
      <t>タナオロシ</t>
    </rPh>
    <rPh sb="3" eb="5">
      <t>シサン</t>
    </rPh>
    <rPh sb="5" eb="7">
      <t>ゾウゲン</t>
    </rPh>
    <phoneticPr fontId="2"/>
  </si>
  <si>
    <t>（回転月数）</t>
    <rPh sb="1" eb="3">
      <t>カイテン</t>
    </rPh>
    <rPh sb="3" eb="5">
      <t>ゲッスウ</t>
    </rPh>
    <phoneticPr fontId="2"/>
  </si>
  <si>
    <t>棚卸資産残高</t>
    <rPh sb="0" eb="2">
      <t>タナオロシ</t>
    </rPh>
    <rPh sb="2" eb="4">
      <t>シサン</t>
    </rPh>
    <rPh sb="4" eb="6">
      <t>ザンダカ</t>
    </rPh>
    <phoneticPr fontId="2"/>
  </si>
  <si>
    <t>棚卸資産回転期間（月）</t>
    <rPh sb="0" eb="2">
      <t>タナオロシ</t>
    </rPh>
    <rPh sb="2" eb="4">
      <t>シサン</t>
    </rPh>
    <rPh sb="4" eb="6">
      <t>カイテン</t>
    </rPh>
    <rPh sb="6" eb="8">
      <t>キカン</t>
    </rPh>
    <rPh sb="9" eb="10">
      <t>ツキ</t>
    </rPh>
    <phoneticPr fontId="2"/>
  </si>
  <si>
    <t>【労務費・人件費】</t>
    <rPh sb="1" eb="4">
      <t>ロウムヒ</t>
    </rPh>
    <rPh sb="5" eb="8">
      <t>ジンケンヒ</t>
    </rPh>
    <phoneticPr fontId="2"/>
  </si>
  <si>
    <t>（増減金額）</t>
    <rPh sb="1" eb="3">
      <t>ゾウゲン</t>
    </rPh>
    <rPh sb="3" eb="5">
      <t>キンガク</t>
    </rPh>
    <phoneticPr fontId="2"/>
  </si>
  <si>
    <t>【その他固定費】</t>
    <rPh sb="3" eb="4">
      <t>ホカ</t>
    </rPh>
    <rPh sb="4" eb="7">
      <t>コテイヒ</t>
    </rPh>
    <phoneticPr fontId="2"/>
  </si>
  <si>
    <r>
      <rPr>
        <sz val="11"/>
        <rFont val="ＭＳ Ｐゴシック"/>
        <family val="3"/>
        <charset val="128"/>
      </rPr>
      <t>　</t>
    </r>
    <r>
      <rPr>
        <u/>
        <sz val="11"/>
        <rFont val="ＭＳ Ｐゴシック"/>
        <family val="3"/>
        <charset val="128"/>
      </rPr>
      <t>【返済可能売上高＝｛固定費＋（長期借入返済額－減価償却費）÷（１－税率）｝÷限界利益率】</t>
    </r>
    <r>
      <rPr>
        <sz val="11"/>
        <rFont val="ＭＳ Ｐゴシック"/>
        <family val="3"/>
        <charset val="128"/>
      </rPr>
      <t>　（※経常赤字の場合は税率考慮せず）</t>
    </r>
    <rPh sb="2" eb="4">
      <t>ヘンサイ</t>
    </rPh>
    <rPh sb="4" eb="6">
      <t>カノウ</t>
    </rPh>
    <rPh sb="6" eb="9">
      <t>ウリアゲダカ</t>
    </rPh>
    <rPh sb="16" eb="18">
      <t>チョウキ</t>
    </rPh>
    <rPh sb="48" eb="50">
      <t>ケイジョウ</t>
    </rPh>
    <rPh sb="50" eb="52">
      <t>アカジ</t>
    </rPh>
    <rPh sb="53" eb="55">
      <t>バアイ</t>
    </rPh>
    <rPh sb="56" eb="58">
      <t>ゼイリツ</t>
    </rPh>
    <rPh sb="58" eb="60">
      <t>コウリョ</t>
    </rPh>
    <phoneticPr fontId="2"/>
  </si>
  <si>
    <t>１．貸借対照表の入力</t>
    <rPh sb="2" eb="4">
      <t>タイシャク</t>
    </rPh>
    <rPh sb="4" eb="7">
      <t>タイショウヒョウ</t>
    </rPh>
    <rPh sb="8" eb="10">
      <t>ニュウリョク</t>
    </rPh>
    <phoneticPr fontId="2"/>
  </si>
  <si>
    <t>（単位：百万円）</t>
    <rPh sb="1" eb="3">
      <t>タンイ</t>
    </rPh>
    <rPh sb="4" eb="5">
      <t>ヒャク</t>
    </rPh>
    <rPh sb="5" eb="7">
      <t>マンエン</t>
    </rPh>
    <phoneticPr fontId="2"/>
  </si>
  <si>
    <t>項目</t>
    <rPh sb="0" eb="1">
      <t>コウ</t>
    </rPh>
    <rPh sb="1" eb="2">
      <t>モク</t>
    </rPh>
    <phoneticPr fontId="2"/>
  </si>
  <si>
    <t>（単位：千円）</t>
    <rPh sb="1" eb="3">
      <t>タンイ</t>
    </rPh>
    <rPh sb="4" eb="5">
      <t>セン</t>
    </rPh>
    <rPh sb="5" eb="6">
      <t>エン</t>
    </rPh>
    <phoneticPr fontId="2"/>
  </si>
  <si>
    <t>現金及び預金</t>
    <rPh sb="0" eb="2">
      <t>ゲンキン</t>
    </rPh>
    <rPh sb="2" eb="3">
      <t>オヨ</t>
    </rPh>
    <rPh sb="4" eb="6">
      <t>ヨキン</t>
    </rPh>
    <phoneticPr fontId="2"/>
  </si>
  <si>
    <t>（単位：円）</t>
    <rPh sb="1" eb="3">
      <t>タンイ</t>
    </rPh>
    <rPh sb="4" eb="5">
      <t>エン</t>
    </rPh>
    <phoneticPr fontId="2"/>
  </si>
  <si>
    <t>受取手形</t>
    <rPh sb="0" eb="2">
      <t>ウケトリカンジョウ</t>
    </rPh>
    <rPh sb="2" eb="4">
      <t>テガタ</t>
    </rPh>
    <phoneticPr fontId="2"/>
  </si>
  <si>
    <t>売掛金</t>
    <rPh sb="0" eb="2">
      <t>ウリカケ</t>
    </rPh>
    <rPh sb="2" eb="3">
      <t>キン</t>
    </rPh>
    <phoneticPr fontId="2"/>
  </si>
  <si>
    <t>短期借入金</t>
    <rPh sb="0" eb="5">
      <t>タンキカリイレキン</t>
    </rPh>
    <phoneticPr fontId="2"/>
  </si>
  <si>
    <t>有価証券</t>
    <phoneticPr fontId="2"/>
  </si>
  <si>
    <t>前受金</t>
    <rPh sb="0" eb="2">
      <t>マエウケ</t>
    </rPh>
    <rPh sb="2" eb="3">
      <t>キン</t>
    </rPh>
    <phoneticPr fontId="2"/>
  </si>
  <si>
    <t>引当金</t>
    <rPh sb="0" eb="3">
      <t>ヒキアテキン</t>
    </rPh>
    <phoneticPr fontId="2"/>
  </si>
  <si>
    <t>短期貸付金</t>
    <rPh sb="0" eb="2">
      <t>タンキ</t>
    </rPh>
    <rPh sb="2" eb="4">
      <t>カシツケ</t>
    </rPh>
    <rPh sb="4" eb="5">
      <t>キン</t>
    </rPh>
    <phoneticPr fontId="2"/>
  </si>
  <si>
    <t>その他の流動負債</t>
    <rPh sb="0" eb="3">
      <t>ソノタ</t>
    </rPh>
    <rPh sb="4" eb="8">
      <t>リュウドウフサイ</t>
    </rPh>
    <phoneticPr fontId="2"/>
  </si>
  <si>
    <t>その他の流動資産</t>
    <phoneticPr fontId="2"/>
  </si>
  <si>
    <t>流動負債合計</t>
    <rPh sb="0" eb="6">
      <t>リュウドウフサイゴウケイ</t>
    </rPh>
    <phoneticPr fontId="2"/>
  </si>
  <si>
    <t>貸倒引当金</t>
    <phoneticPr fontId="2"/>
  </si>
  <si>
    <t>長期借入金</t>
    <rPh sb="0" eb="5">
      <t>チョウキカリイレキン</t>
    </rPh>
    <phoneticPr fontId="2"/>
  </si>
  <si>
    <t>流動資産合計</t>
  </si>
  <si>
    <t>土地</t>
  </si>
  <si>
    <t>減価償却資産</t>
  </si>
  <si>
    <t>その他の固定負債</t>
    <rPh sb="0" eb="3">
      <t>ソノタ</t>
    </rPh>
    <rPh sb="4" eb="8">
      <t>コテイフサイ</t>
    </rPh>
    <phoneticPr fontId="2"/>
  </si>
  <si>
    <t>建設仮勘定</t>
    <rPh sb="0" eb="2">
      <t>ケンセツ</t>
    </rPh>
    <rPh sb="2" eb="5">
      <t>カリカンジョウ</t>
    </rPh>
    <phoneticPr fontId="2"/>
  </si>
  <si>
    <t>固定負債合計</t>
    <rPh sb="0" eb="2">
      <t>コテイ</t>
    </rPh>
    <rPh sb="2" eb="6">
      <t>フサイゴウケイ</t>
    </rPh>
    <phoneticPr fontId="2"/>
  </si>
  <si>
    <t>無形固定資産</t>
  </si>
  <si>
    <t>負債合計</t>
    <rPh sb="0" eb="4">
      <t>フサイゴウケイ</t>
    </rPh>
    <phoneticPr fontId="2"/>
  </si>
  <si>
    <t>長期貸付金</t>
  </si>
  <si>
    <t>資本剰余金</t>
    <rPh sb="0" eb="5">
      <t>シホンジョウヨキン</t>
    </rPh>
    <phoneticPr fontId="2"/>
  </si>
  <si>
    <t>その他の固定資産</t>
    <phoneticPr fontId="2"/>
  </si>
  <si>
    <t>利益剰余金</t>
    <rPh sb="0" eb="5">
      <t>リエキジョウヨキン</t>
    </rPh>
    <phoneticPr fontId="2"/>
  </si>
  <si>
    <t>自己株式</t>
    <rPh sb="0" eb="2">
      <t>ジコ</t>
    </rPh>
    <rPh sb="2" eb="4">
      <t>カブシキ</t>
    </rPh>
    <phoneticPr fontId="2"/>
  </si>
  <si>
    <t>固定資産合計</t>
  </si>
  <si>
    <t>その他</t>
    <rPh sb="2" eb="3">
      <t>タ</t>
    </rPh>
    <phoneticPr fontId="2"/>
  </si>
  <si>
    <t>繰延資産合計</t>
    <phoneticPr fontId="2"/>
  </si>
  <si>
    <t>資産合計</t>
  </si>
  <si>
    <t>負債･純資産合計</t>
    <rPh sb="0" eb="2">
      <t>フサイ</t>
    </rPh>
    <rPh sb="3" eb="6">
      <t>ジュンシサン</t>
    </rPh>
    <rPh sb="6" eb="8">
      <t>ゴウケイ</t>
    </rPh>
    <phoneticPr fontId="2"/>
  </si>
  <si>
    <t/>
  </si>
  <si>
    <t>２．損益計算書の入力</t>
    <rPh sb="2" eb="4">
      <t>ソンエキ</t>
    </rPh>
    <rPh sb="4" eb="7">
      <t>ケイサンショ</t>
    </rPh>
    <rPh sb="8" eb="10">
      <t>ニュウリョク</t>
    </rPh>
    <phoneticPr fontId="2"/>
  </si>
  <si>
    <t>売上総利益</t>
    <rPh sb="0" eb="2">
      <t>ウリアゲ</t>
    </rPh>
    <rPh sb="2" eb="5">
      <t>ソウリエキ</t>
    </rPh>
    <phoneticPr fontId="2"/>
  </si>
  <si>
    <t>販売費及び一般管理費</t>
    <rPh sb="0" eb="3">
      <t>ハンバイヒ</t>
    </rPh>
    <rPh sb="3" eb="4">
      <t>オヨ</t>
    </rPh>
    <rPh sb="5" eb="7">
      <t>イッパン</t>
    </rPh>
    <rPh sb="7" eb="10">
      <t>カンリヒ</t>
    </rPh>
    <phoneticPr fontId="2"/>
  </si>
  <si>
    <t>営業利益</t>
    <rPh sb="0" eb="4">
      <t>エイギョウリエキ</t>
    </rPh>
    <phoneticPr fontId="2"/>
  </si>
  <si>
    <t>営業外収益</t>
    <rPh sb="0" eb="3">
      <t>エイギョウガイ</t>
    </rPh>
    <rPh sb="3" eb="5">
      <t>シュウエキ</t>
    </rPh>
    <phoneticPr fontId="2"/>
  </si>
  <si>
    <t>経常利益</t>
    <rPh sb="0" eb="4">
      <t>ケイジョウリエキ</t>
    </rPh>
    <phoneticPr fontId="2"/>
  </si>
  <si>
    <t>　</t>
    <phoneticPr fontId="2"/>
  </si>
  <si>
    <t>税引前当期純利益</t>
    <rPh sb="0" eb="2">
      <t>ゼイヒ</t>
    </rPh>
    <rPh sb="2" eb="3">
      <t>マエ</t>
    </rPh>
    <rPh sb="3" eb="5">
      <t>トウキ</t>
    </rPh>
    <rPh sb="5" eb="6">
      <t>ジュン</t>
    </rPh>
    <rPh sb="6" eb="8">
      <t>リエキ</t>
    </rPh>
    <phoneticPr fontId="2"/>
  </si>
  <si>
    <t>　　</t>
    <phoneticPr fontId="2"/>
  </si>
  <si>
    <t>法人税、住民税及び事業税</t>
    <rPh sb="0" eb="3">
      <t>ホウジンゼイ</t>
    </rPh>
    <rPh sb="4" eb="7">
      <t>ジュウミンゼイ</t>
    </rPh>
    <rPh sb="7" eb="8">
      <t>オヨ</t>
    </rPh>
    <rPh sb="9" eb="12">
      <t>ジギョウゼイ</t>
    </rPh>
    <phoneticPr fontId="2"/>
  </si>
  <si>
    <t>当期純利益</t>
    <rPh sb="0" eb="2">
      <t>トウキ</t>
    </rPh>
    <rPh sb="2" eb="3">
      <t>ジュン</t>
    </rPh>
    <rPh sb="3" eb="5">
      <t>リエキ</t>
    </rPh>
    <phoneticPr fontId="2"/>
  </si>
  <si>
    <t>３．その他の入力</t>
    <rPh sb="4" eb="5">
      <t>タ</t>
    </rPh>
    <rPh sb="6" eb="8">
      <t>ニュウリョク</t>
    </rPh>
    <phoneticPr fontId="2"/>
  </si>
  <si>
    <t>４．株主資本等変動計算書の入力</t>
    <rPh sb="2" eb="4">
      <t>カブヌシ</t>
    </rPh>
    <rPh sb="4" eb="6">
      <t>シホン</t>
    </rPh>
    <rPh sb="6" eb="7">
      <t>トウ</t>
    </rPh>
    <rPh sb="7" eb="9">
      <t>ヘンドウ</t>
    </rPh>
    <rPh sb="9" eb="12">
      <t>ケイサンショ</t>
    </rPh>
    <rPh sb="13" eb="15">
      <t>ニュウリョク</t>
    </rPh>
    <phoneticPr fontId="2"/>
  </si>
  <si>
    <t>株主資本</t>
    <rPh sb="0" eb="2">
      <t>カブヌシ</t>
    </rPh>
    <rPh sb="2" eb="4">
      <t>シホン</t>
    </rPh>
    <phoneticPr fontId="2"/>
  </si>
  <si>
    <t>株主資本合計</t>
    <rPh sb="0" eb="2">
      <t>カブヌシ</t>
    </rPh>
    <rPh sb="2" eb="4">
      <t>シホン</t>
    </rPh>
    <rPh sb="4" eb="6">
      <t>ゴウケイ</t>
    </rPh>
    <phoneticPr fontId="2"/>
  </si>
  <si>
    <t>利益準備金
××積立金</t>
    <rPh sb="0" eb="2">
      <t>リエキ</t>
    </rPh>
    <rPh sb="2" eb="5">
      <t>ジュンビキン</t>
    </rPh>
    <rPh sb="8" eb="10">
      <t>ツミタテ</t>
    </rPh>
    <rPh sb="10" eb="11">
      <t>キン</t>
    </rPh>
    <phoneticPr fontId="2"/>
  </si>
  <si>
    <t>繰越利益剰余金</t>
    <rPh sb="0" eb="2">
      <t>クリコシ</t>
    </rPh>
    <rPh sb="2" eb="4">
      <t>リエキ</t>
    </rPh>
    <rPh sb="4" eb="7">
      <t>ジョウヨキン</t>
    </rPh>
    <phoneticPr fontId="2"/>
  </si>
  <si>
    <t>前期首残高</t>
    <rPh sb="0" eb="2">
      <t>ゼンキ</t>
    </rPh>
    <rPh sb="2" eb="3">
      <t>クビ</t>
    </rPh>
    <rPh sb="3" eb="5">
      <t>ザンダカ</t>
    </rPh>
    <phoneticPr fontId="2"/>
  </si>
  <si>
    <t>当期変動額</t>
    <rPh sb="0" eb="2">
      <t>トウキ</t>
    </rPh>
    <rPh sb="2" eb="4">
      <t>ヘンドウ</t>
    </rPh>
    <rPh sb="4" eb="5">
      <t>ガク</t>
    </rPh>
    <phoneticPr fontId="2"/>
  </si>
  <si>
    <t>目的積立金の積立て</t>
    <rPh sb="0" eb="2">
      <t>モクテキ</t>
    </rPh>
    <rPh sb="2" eb="4">
      <t>ツミタテ</t>
    </rPh>
    <rPh sb="4" eb="5">
      <t>キン</t>
    </rPh>
    <rPh sb="6" eb="8">
      <t>ツミタ</t>
    </rPh>
    <phoneticPr fontId="2"/>
  </si>
  <si>
    <t>別途積立金の積立て</t>
    <rPh sb="0" eb="2">
      <t>ベット</t>
    </rPh>
    <rPh sb="2" eb="4">
      <t>ツミタテ</t>
    </rPh>
    <rPh sb="4" eb="5">
      <t>キン</t>
    </rPh>
    <rPh sb="6" eb="7">
      <t>ツ</t>
    </rPh>
    <rPh sb="7" eb="8">
      <t>タ</t>
    </rPh>
    <phoneticPr fontId="2"/>
  </si>
  <si>
    <t>剰余金の配当</t>
    <rPh sb="0" eb="3">
      <t>ジョウヨキン</t>
    </rPh>
    <rPh sb="4" eb="6">
      <t>ハイトウ</t>
    </rPh>
    <phoneticPr fontId="2"/>
  </si>
  <si>
    <t>役員賞与の支給（注）</t>
    <rPh sb="0" eb="2">
      <t>ヤクイン</t>
    </rPh>
    <rPh sb="2" eb="4">
      <t>ショウヨ</t>
    </rPh>
    <rPh sb="5" eb="7">
      <t>シキュウ</t>
    </rPh>
    <rPh sb="8" eb="9">
      <t>チュウ</t>
    </rPh>
    <phoneticPr fontId="2"/>
  </si>
  <si>
    <t>当期純利益</t>
    <rPh sb="0" eb="2">
      <t>トウキ</t>
    </rPh>
    <rPh sb="2" eb="5">
      <t>ジュンリエキ</t>
    </rPh>
    <phoneticPr fontId="2"/>
  </si>
  <si>
    <t>自己株式の取得（又は処分）</t>
    <rPh sb="0" eb="2">
      <t>ジコ</t>
    </rPh>
    <rPh sb="2" eb="4">
      <t>カブシキ</t>
    </rPh>
    <rPh sb="5" eb="7">
      <t>シュトク</t>
    </rPh>
    <rPh sb="8" eb="9">
      <t>マタ</t>
    </rPh>
    <rPh sb="10" eb="12">
      <t>ショブン</t>
    </rPh>
    <phoneticPr fontId="2"/>
  </si>
  <si>
    <t>その他の当期変動額（純額）</t>
    <rPh sb="2" eb="3">
      <t>タ</t>
    </rPh>
    <rPh sb="4" eb="6">
      <t>トウキ</t>
    </rPh>
    <rPh sb="6" eb="8">
      <t>ヘンドウ</t>
    </rPh>
    <rPh sb="8" eb="9">
      <t>ガク</t>
    </rPh>
    <rPh sb="10" eb="11">
      <t>ジュン</t>
    </rPh>
    <rPh sb="11" eb="12">
      <t>ガク</t>
    </rPh>
    <phoneticPr fontId="2"/>
  </si>
  <si>
    <t>当期変動額合計</t>
    <rPh sb="0" eb="2">
      <t>トウキ</t>
    </rPh>
    <rPh sb="2" eb="4">
      <t>ヘンドウ</t>
    </rPh>
    <rPh sb="4" eb="5">
      <t>ガク</t>
    </rPh>
    <rPh sb="5" eb="7">
      <t>ゴウケイ</t>
    </rPh>
    <phoneticPr fontId="2"/>
  </si>
  <si>
    <t>当期末残高</t>
    <rPh sb="0" eb="2">
      <t>トウキ</t>
    </rPh>
    <rPh sb="2" eb="3">
      <t>マツ</t>
    </rPh>
    <rPh sb="3" eb="5">
      <t>ザンダカ</t>
    </rPh>
    <phoneticPr fontId="2"/>
  </si>
  <si>
    <t>　キャッシュ・フロー計算書　</t>
    <rPh sb="10" eb="13">
      <t>ケイサンショ</t>
    </rPh>
    <phoneticPr fontId="2"/>
  </si>
  <si>
    <t>項　　　　　　目</t>
    <rPh sb="0" eb="8">
      <t>コウモク</t>
    </rPh>
    <phoneticPr fontId="2"/>
  </si>
  <si>
    <t>金　額</t>
    <rPh sb="0" eb="1">
      <t>キン</t>
    </rPh>
    <rPh sb="2" eb="3">
      <t>ガク</t>
    </rPh>
    <phoneticPr fontId="2"/>
  </si>
  <si>
    <t>Ⅰ 営業活動によるキャッシュ・フロー</t>
    <rPh sb="2" eb="6">
      <t>エイギョウカツドウ</t>
    </rPh>
    <phoneticPr fontId="2"/>
  </si>
  <si>
    <t>　（１）当期純利益（＋）</t>
    <rPh sb="4" eb="6">
      <t>トウキ</t>
    </rPh>
    <rPh sb="6" eb="7">
      <t>ジュン</t>
    </rPh>
    <rPh sb="7" eb="9">
      <t>リエキ</t>
    </rPh>
    <phoneticPr fontId="2"/>
  </si>
  <si>
    <t>　（２）非資金の費用項目</t>
    <rPh sb="4" eb="5">
      <t>ヒ</t>
    </rPh>
    <rPh sb="5" eb="7">
      <t>シキン</t>
    </rPh>
    <rPh sb="8" eb="10">
      <t>ヒヨウ</t>
    </rPh>
    <rPh sb="10" eb="12">
      <t>コウモク</t>
    </rPh>
    <phoneticPr fontId="2"/>
  </si>
  <si>
    <t>　　　１．減価償却費（＋）</t>
    <rPh sb="5" eb="10">
      <t>ゲンカショウキャクヒ</t>
    </rPh>
    <phoneticPr fontId="2"/>
  </si>
  <si>
    <t>　　　２．諸引当金の増加（＋）・減少（－）額</t>
    <rPh sb="5" eb="6">
      <t>ショ</t>
    </rPh>
    <rPh sb="6" eb="9">
      <t>ヒキアテキン</t>
    </rPh>
    <rPh sb="10" eb="12">
      <t>ゾウカ</t>
    </rPh>
    <rPh sb="16" eb="18">
      <t>ゲンショウ</t>
    </rPh>
    <rPh sb="21" eb="22">
      <t>ガク</t>
    </rPh>
    <phoneticPr fontId="2"/>
  </si>
  <si>
    <t>　（３）回収・支払サイト</t>
    <rPh sb="4" eb="6">
      <t>カイシュウ</t>
    </rPh>
    <phoneticPr fontId="2"/>
  </si>
  <si>
    <t>　　　１．受取手形の増加（－）・減少（＋）額</t>
    <rPh sb="5" eb="7">
      <t>ウケトリ</t>
    </rPh>
    <rPh sb="7" eb="9">
      <t>テガタ</t>
    </rPh>
    <rPh sb="10" eb="21">
      <t>ゾウゲン</t>
    </rPh>
    <rPh sb="21" eb="22">
      <t>ガク</t>
    </rPh>
    <phoneticPr fontId="2"/>
  </si>
  <si>
    <t>　　　２．売掛金の増加（－）・減少（＋）額</t>
    <rPh sb="5" eb="8">
      <t>ウリカケキン</t>
    </rPh>
    <rPh sb="9" eb="20">
      <t>ゾウゲン</t>
    </rPh>
    <rPh sb="20" eb="21">
      <t>ガク</t>
    </rPh>
    <phoneticPr fontId="2"/>
  </si>
  <si>
    <t>　　　３．棚卸資産の増加（－）・減少（＋）額</t>
    <rPh sb="5" eb="7">
      <t>タナオロシ</t>
    </rPh>
    <rPh sb="7" eb="9">
      <t>シサン</t>
    </rPh>
    <rPh sb="10" eb="21">
      <t>ゾウゲン</t>
    </rPh>
    <rPh sb="21" eb="22">
      <t>ガク</t>
    </rPh>
    <phoneticPr fontId="2"/>
  </si>
  <si>
    <t>　　　４．その他の流動資産の増加（－）・減少（＋）額</t>
    <rPh sb="5" eb="8">
      <t>ソノタ</t>
    </rPh>
    <rPh sb="9" eb="11">
      <t>リュウドウ</t>
    </rPh>
    <rPh sb="11" eb="13">
      <t>シサン</t>
    </rPh>
    <rPh sb="14" eb="25">
      <t>ゾウゲン</t>
    </rPh>
    <rPh sb="25" eb="26">
      <t>ガク</t>
    </rPh>
    <phoneticPr fontId="2"/>
  </si>
  <si>
    <t>　　　５．支払手形の増加（＋）・減少（－）額</t>
    <rPh sb="5" eb="7">
      <t>シハライ</t>
    </rPh>
    <rPh sb="7" eb="9">
      <t>テガタ</t>
    </rPh>
    <rPh sb="10" eb="21">
      <t>ゾウゲン</t>
    </rPh>
    <rPh sb="21" eb="22">
      <t>ガク</t>
    </rPh>
    <phoneticPr fontId="2"/>
  </si>
  <si>
    <t>　　　６．買掛金の増加（＋）・減少（－）額</t>
    <rPh sb="5" eb="8">
      <t>カイカケキン</t>
    </rPh>
    <rPh sb="9" eb="20">
      <t>ゾウゲン</t>
    </rPh>
    <rPh sb="20" eb="21">
      <t>ガク</t>
    </rPh>
    <phoneticPr fontId="2"/>
  </si>
  <si>
    <t>　　　７．前受金の増加（＋）・減少（－）額</t>
    <rPh sb="5" eb="7">
      <t>マエウケ</t>
    </rPh>
    <rPh sb="7" eb="8">
      <t>キン</t>
    </rPh>
    <rPh sb="9" eb="20">
      <t>ゾウゲン</t>
    </rPh>
    <rPh sb="20" eb="21">
      <t>ガク</t>
    </rPh>
    <phoneticPr fontId="2"/>
  </si>
  <si>
    <t>　　　８．その他の流動負債の増加（＋）・減少（－）額</t>
    <rPh sb="5" eb="8">
      <t>ソノタ</t>
    </rPh>
    <rPh sb="9" eb="11">
      <t>リュウドウ</t>
    </rPh>
    <rPh sb="11" eb="13">
      <t>フサイ</t>
    </rPh>
    <rPh sb="14" eb="25">
      <t>ゾウゲン</t>
    </rPh>
    <rPh sb="25" eb="26">
      <t>ガク</t>
    </rPh>
    <phoneticPr fontId="2"/>
  </si>
  <si>
    <t>　　　９．その他の固定負債の増加（＋）・減少（－）額</t>
    <rPh sb="9" eb="11">
      <t>コテイ</t>
    </rPh>
    <rPh sb="25" eb="26">
      <t>ガク</t>
    </rPh>
    <phoneticPr fontId="2"/>
  </si>
  <si>
    <t>　　１０．利益処分による役員賞与の支払（－）額</t>
    <rPh sb="5" eb="7">
      <t>リエキショ</t>
    </rPh>
    <rPh sb="7" eb="9">
      <t>ショブン</t>
    </rPh>
    <rPh sb="12" eb="16">
      <t>ヤクインショウヨ</t>
    </rPh>
    <rPh sb="17" eb="19">
      <t>シハライ</t>
    </rPh>
    <rPh sb="22" eb="23">
      <t>ガク</t>
    </rPh>
    <phoneticPr fontId="2"/>
  </si>
  <si>
    <t>（Ⅰの計）</t>
    <rPh sb="3" eb="4">
      <t>ケイ</t>
    </rPh>
    <phoneticPr fontId="2"/>
  </si>
  <si>
    <t>Ⅱ 投資活動によるキャッシュ・フロー</t>
    <rPh sb="2" eb="6">
      <t>トウシカツドウ</t>
    </rPh>
    <phoneticPr fontId="2"/>
  </si>
  <si>
    <t>　　　１．有価証券の購入（－）・売却（＋）額</t>
    <rPh sb="5" eb="7">
      <t>ユウカ</t>
    </rPh>
    <rPh sb="7" eb="9">
      <t>ショウケン</t>
    </rPh>
    <rPh sb="10" eb="12">
      <t>コウニュウ</t>
    </rPh>
    <rPh sb="16" eb="18">
      <t>バイキャク</t>
    </rPh>
    <rPh sb="21" eb="22">
      <t>ガク</t>
    </rPh>
    <phoneticPr fontId="2"/>
  </si>
  <si>
    <t>　　　２．短期貸付金の貸付（－）・回収（＋）額</t>
    <rPh sb="5" eb="7">
      <t>タンキ</t>
    </rPh>
    <rPh sb="7" eb="9">
      <t>カシツケ</t>
    </rPh>
    <rPh sb="9" eb="10">
      <t>キン</t>
    </rPh>
    <rPh sb="11" eb="13">
      <t>カシツケ</t>
    </rPh>
    <rPh sb="17" eb="19">
      <t>カイシュウ</t>
    </rPh>
    <rPh sb="22" eb="23">
      <t>ガク</t>
    </rPh>
    <phoneticPr fontId="2"/>
  </si>
  <si>
    <t>　　　３．土地の購入（－）・売却（＋）額</t>
    <rPh sb="5" eb="7">
      <t>トチ</t>
    </rPh>
    <rPh sb="8" eb="10">
      <t>コウニュウ</t>
    </rPh>
    <rPh sb="14" eb="16">
      <t>バイキャク</t>
    </rPh>
    <rPh sb="19" eb="20">
      <t>ガク</t>
    </rPh>
    <phoneticPr fontId="2"/>
  </si>
  <si>
    <t>　　　４．減価償却資産の増加（－）・減少（＋）額</t>
    <rPh sb="5" eb="7">
      <t>ゲンカ</t>
    </rPh>
    <rPh sb="7" eb="9">
      <t>ショウキャク</t>
    </rPh>
    <rPh sb="9" eb="11">
      <t>シサン</t>
    </rPh>
    <rPh sb="12" eb="14">
      <t>ゾウカ</t>
    </rPh>
    <rPh sb="18" eb="20">
      <t>ゲンショウ</t>
    </rPh>
    <rPh sb="23" eb="24">
      <t>ガク</t>
    </rPh>
    <phoneticPr fontId="2"/>
  </si>
  <si>
    <t>　　　５．建設仮勘定の増加（－）・減少（＋）額</t>
    <rPh sb="5" eb="7">
      <t>ケンセツ</t>
    </rPh>
    <rPh sb="7" eb="10">
      <t>カリカンジョウ</t>
    </rPh>
    <rPh sb="11" eb="13">
      <t>ゾウカ</t>
    </rPh>
    <rPh sb="17" eb="19">
      <t>ゲンショウ</t>
    </rPh>
    <rPh sb="22" eb="23">
      <t>ガク</t>
    </rPh>
    <phoneticPr fontId="2"/>
  </si>
  <si>
    <t>　　　６．無形固定資産の増加（－）・減少（＋）額</t>
    <rPh sb="5" eb="7">
      <t>ムケイ</t>
    </rPh>
    <rPh sb="7" eb="9">
      <t>コテイ</t>
    </rPh>
    <rPh sb="9" eb="11">
      <t>シサン</t>
    </rPh>
    <rPh sb="12" eb="14">
      <t>ゾウカ</t>
    </rPh>
    <rPh sb="18" eb="20">
      <t>ゲンショウ</t>
    </rPh>
    <rPh sb="23" eb="24">
      <t>ガク</t>
    </rPh>
    <phoneticPr fontId="2"/>
  </si>
  <si>
    <t>　　　７．投資有価証券の購入（－）・売却（＋）額</t>
    <rPh sb="5" eb="7">
      <t>トウシ</t>
    </rPh>
    <rPh sb="7" eb="11">
      <t>ユウカショウケン</t>
    </rPh>
    <rPh sb="12" eb="14">
      <t>コウニュウ</t>
    </rPh>
    <rPh sb="23" eb="24">
      <t>ガク</t>
    </rPh>
    <phoneticPr fontId="2"/>
  </si>
  <si>
    <t>　　　８．長期貸付金の貸付（－）・回収（＋）額</t>
    <rPh sb="5" eb="7">
      <t>チョウキ</t>
    </rPh>
    <rPh sb="7" eb="9">
      <t>カシツケ</t>
    </rPh>
    <rPh sb="9" eb="10">
      <t>キン</t>
    </rPh>
    <rPh sb="11" eb="13">
      <t>カシツケ</t>
    </rPh>
    <rPh sb="17" eb="19">
      <t>カイシュウ</t>
    </rPh>
    <rPh sb="22" eb="23">
      <t>ガク</t>
    </rPh>
    <phoneticPr fontId="2"/>
  </si>
  <si>
    <t>　　　９．その他の固定資産の増加（－）・減少（＋）額</t>
    <rPh sb="9" eb="11">
      <t>コテイ</t>
    </rPh>
    <rPh sb="11" eb="13">
      <t>シサン</t>
    </rPh>
    <rPh sb="25" eb="26">
      <t>ガク</t>
    </rPh>
    <phoneticPr fontId="2"/>
  </si>
  <si>
    <t>　　１０．繰延資産の増加（－）・減少（＋）額</t>
    <rPh sb="5" eb="7">
      <t>クリノベ</t>
    </rPh>
    <rPh sb="7" eb="9">
      <t>シサン</t>
    </rPh>
    <rPh sb="21" eb="22">
      <t>ガク</t>
    </rPh>
    <phoneticPr fontId="2"/>
  </si>
  <si>
    <t>（Ⅱの計）</t>
    <rPh sb="3" eb="4">
      <t>ケイ</t>
    </rPh>
    <phoneticPr fontId="2"/>
  </si>
  <si>
    <t>フリーキャッシュ・フロー（Ⅰ＋Ⅱ）</t>
    <phoneticPr fontId="2"/>
  </si>
  <si>
    <t>Ⅲ 財務活動によるキャッシュ・フロー</t>
    <rPh sb="2" eb="4">
      <t>ザイム</t>
    </rPh>
    <rPh sb="4" eb="6">
      <t>カツドウ</t>
    </rPh>
    <phoneticPr fontId="2"/>
  </si>
  <si>
    <t>　　　１．短期借入金の増加（＋）・減少（－）額</t>
    <rPh sb="5" eb="10">
      <t>タンキカリイレキン</t>
    </rPh>
    <rPh sb="11" eb="12">
      <t>ゾウゲン</t>
    </rPh>
    <rPh sb="17" eb="19">
      <t>ゲンショウ</t>
    </rPh>
    <rPh sb="22" eb="23">
      <t>ガク</t>
    </rPh>
    <phoneticPr fontId="2"/>
  </si>
  <si>
    <t>　　　２．長期借入金の増加（＋）・減少（－）額</t>
    <rPh sb="17" eb="19">
      <t>ゲンショウ</t>
    </rPh>
    <rPh sb="22" eb="23">
      <t>ガク</t>
    </rPh>
    <phoneticPr fontId="2"/>
  </si>
  <si>
    <t>　　　３．社債の増加（＋）・返済（－）額</t>
    <rPh sb="5" eb="7">
      <t>シャサイ</t>
    </rPh>
    <rPh sb="8" eb="10">
      <t>ゾウカ</t>
    </rPh>
    <rPh sb="14" eb="16">
      <t>ヘンサイ</t>
    </rPh>
    <rPh sb="19" eb="20">
      <t>ガク</t>
    </rPh>
    <phoneticPr fontId="2"/>
  </si>
  <si>
    <t>　　　４．増資（＋）額</t>
    <rPh sb="5" eb="7">
      <t>ゾウシ</t>
    </rPh>
    <rPh sb="10" eb="11">
      <t>ガク</t>
    </rPh>
    <phoneticPr fontId="2"/>
  </si>
  <si>
    <t>　　　５．自己株式の取得（－）・処分（＋）額</t>
    <rPh sb="5" eb="7">
      <t>ジコ</t>
    </rPh>
    <rPh sb="7" eb="9">
      <t>カブシキ</t>
    </rPh>
    <rPh sb="10" eb="12">
      <t>シュトク</t>
    </rPh>
    <rPh sb="16" eb="18">
      <t>ショブン</t>
    </rPh>
    <rPh sb="21" eb="22">
      <t>ガク</t>
    </rPh>
    <phoneticPr fontId="2"/>
  </si>
  <si>
    <t>　　　６．剰余金の配当の支払（－）額</t>
    <rPh sb="5" eb="8">
      <t>ジョウヨキン</t>
    </rPh>
    <rPh sb="9" eb="11">
      <t>ハイトウ</t>
    </rPh>
    <rPh sb="12" eb="14">
      <t>シハライ</t>
    </rPh>
    <rPh sb="17" eb="18">
      <t>ガク</t>
    </rPh>
    <phoneticPr fontId="2"/>
  </si>
  <si>
    <t>（Ⅲの計）</t>
    <rPh sb="3" eb="4">
      <t>ケイ</t>
    </rPh>
    <phoneticPr fontId="2"/>
  </si>
  <si>
    <t>Ⅳ キャッシュの増加・減少額（Ⅰ＋Ⅱ＋Ⅲ）</t>
    <rPh sb="8" eb="10">
      <t>ゾウカ</t>
    </rPh>
    <rPh sb="11" eb="13">
      <t>ゲンショウ</t>
    </rPh>
    <rPh sb="13" eb="14">
      <t>ガク</t>
    </rPh>
    <phoneticPr fontId="2"/>
  </si>
  <si>
    <t>Ⅴ キャッシュの期首残高</t>
    <rPh sb="8" eb="10">
      <t>キシュ</t>
    </rPh>
    <rPh sb="10" eb="12">
      <t>ザンダカ</t>
    </rPh>
    <phoneticPr fontId="2"/>
  </si>
  <si>
    <t>Ⅵ キャッシュの期末残高（Ⅳ＋Ⅴ）</t>
    <rPh sb="8" eb="10">
      <t>キマツ</t>
    </rPh>
    <rPh sb="10" eb="12">
      <t>ザンダカ</t>
    </rPh>
    <phoneticPr fontId="2"/>
  </si>
  <si>
    <t>検算（貸借対照表の現金及び預金）</t>
    <rPh sb="0" eb="2">
      <t>ケンザン</t>
    </rPh>
    <rPh sb="3" eb="5">
      <t>タイシャク</t>
    </rPh>
    <rPh sb="5" eb="8">
      <t>タイショウヒョウ</t>
    </rPh>
    <rPh sb="9" eb="11">
      <t>ゲンキン</t>
    </rPh>
    <rPh sb="11" eb="12">
      <t>オヨ</t>
    </rPh>
    <rPh sb="13" eb="15">
      <t>ヨキン</t>
    </rPh>
    <phoneticPr fontId="2"/>
  </si>
  <si>
    <t>投資有価証券.子会社株式.出資金等</t>
    <rPh sb="7" eb="10">
      <t>コガイシャ</t>
    </rPh>
    <rPh sb="10" eb="12">
      <t>カブシキ</t>
    </rPh>
    <rPh sb="13" eb="16">
      <t>シュッシキン</t>
    </rPh>
    <rPh sb="16" eb="17">
      <t>トウ</t>
    </rPh>
    <phoneticPr fontId="2"/>
  </si>
  <si>
    <t>キャッシュ・フロー計算書（概算・参考）</t>
    <rPh sb="9" eb="12">
      <t>ケイサンショ</t>
    </rPh>
    <rPh sb="13" eb="15">
      <t>ガイサン</t>
    </rPh>
    <rPh sb="16" eb="18">
      <t>サンコウ</t>
    </rPh>
    <phoneticPr fontId="2"/>
  </si>
  <si>
    <t>（注）有利子負債は、短期借入金又は長期借入金に含める。</t>
    <rPh sb="1" eb="2">
      <t>チュウ</t>
    </rPh>
    <rPh sb="3" eb="4">
      <t>ユウ</t>
    </rPh>
    <rPh sb="4" eb="6">
      <t>リシ</t>
    </rPh>
    <rPh sb="6" eb="8">
      <t>フサイ</t>
    </rPh>
    <rPh sb="10" eb="12">
      <t>タンキ</t>
    </rPh>
    <rPh sb="12" eb="14">
      <t>カリイレ</t>
    </rPh>
    <rPh sb="14" eb="15">
      <t>キン</t>
    </rPh>
    <rPh sb="15" eb="16">
      <t>マタ</t>
    </rPh>
    <rPh sb="17" eb="19">
      <t>チョウキ</t>
    </rPh>
    <rPh sb="19" eb="21">
      <t>カリイレ</t>
    </rPh>
    <rPh sb="21" eb="22">
      <t>キン</t>
    </rPh>
    <rPh sb="23" eb="24">
      <t>フク</t>
    </rPh>
    <phoneticPr fontId="2"/>
  </si>
  <si>
    <t>キャッシュ・フロー計算書のワークシート（入力用）</t>
    <rPh sb="9" eb="12">
      <t>ケイサンショ</t>
    </rPh>
    <rPh sb="20" eb="23">
      <t>ニュウリョクヨウ</t>
    </rPh>
    <phoneticPr fontId="2"/>
  </si>
  <si>
    <t>キャッシュ・フロー計算書のワークシート②（入力用）</t>
    <rPh sb="9" eb="12">
      <t>ケイサンショ</t>
    </rPh>
    <rPh sb="21" eb="24">
      <t>ニュウリョクヨウ</t>
    </rPh>
    <phoneticPr fontId="2"/>
  </si>
  <si>
    <t>　キャッシュ・フロー計算書②　</t>
    <rPh sb="10" eb="13">
      <t>ケイサンショ</t>
    </rPh>
    <phoneticPr fontId="2"/>
  </si>
  <si>
    <t>　　　　　　　　　　（照合）この欄が０でＯＫ</t>
    <rPh sb="11" eb="13">
      <t>ショウゴウ</t>
    </rPh>
    <rPh sb="16" eb="17">
      <t>ラン</t>
    </rPh>
    <phoneticPr fontId="2"/>
  </si>
  <si>
    <t>　　　　　　　　　　（照合）この欄が０でＯＫ</t>
    <phoneticPr fontId="2"/>
  </si>
  <si>
    <t>（注）会社法の施行により、従来、利益処分項目として計上されていた「役員賞与」が、発生した会計期間の費用として処理する方法に変わり、今後は原則として、　
 　　　「販売費及び一般管理費」で計上されます。</t>
    <rPh sb="1" eb="2">
      <t>チュウ</t>
    </rPh>
    <rPh sb="3" eb="5">
      <t>カイシャ</t>
    </rPh>
    <rPh sb="5" eb="6">
      <t>ホウ</t>
    </rPh>
    <rPh sb="7" eb="9">
      <t>セコウ</t>
    </rPh>
    <rPh sb="13" eb="15">
      <t>ジュウライ</t>
    </rPh>
    <rPh sb="16" eb="18">
      <t>リエキ</t>
    </rPh>
    <rPh sb="18" eb="20">
      <t>ショブン</t>
    </rPh>
    <rPh sb="20" eb="21">
      <t>コウ</t>
    </rPh>
    <rPh sb="21" eb="22">
      <t>モク</t>
    </rPh>
    <rPh sb="25" eb="27">
      <t>ケイジョウ</t>
    </rPh>
    <rPh sb="33" eb="35">
      <t>ヤクイン</t>
    </rPh>
    <rPh sb="35" eb="37">
      <t>ショウヨ</t>
    </rPh>
    <rPh sb="40" eb="42">
      <t>ハッセイ</t>
    </rPh>
    <rPh sb="44" eb="46">
      <t>カイケイ</t>
    </rPh>
    <rPh sb="46" eb="48">
      <t>キカン</t>
    </rPh>
    <rPh sb="49" eb="51">
      <t>ヒヨウ</t>
    </rPh>
    <rPh sb="54" eb="56">
      <t>ショリ</t>
    </rPh>
    <rPh sb="58" eb="60">
      <t>ホウホウ</t>
    </rPh>
    <rPh sb="61" eb="62">
      <t>カ</t>
    </rPh>
    <rPh sb="65" eb="67">
      <t>コンゴ</t>
    </rPh>
    <rPh sb="68" eb="70">
      <t>ゲンソク</t>
    </rPh>
    <phoneticPr fontId="2"/>
  </si>
  <si>
    <t>法定福利費・福利厚生費</t>
    <phoneticPr fontId="2"/>
  </si>
  <si>
    <t>前年比
増加率</t>
  </si>
  <si>
    <t xml:space="preserve"> </t>
    <phoneticPr fontId="2"/>
  </si>
  <si>
    <t>F</t>
  </si>
  <si>
    <t>経営指標調査表</t>
    <rPh sb="0" eb="2">
      <t>ケイエイ</t>
    </rPh>
    <rPh sb="2" eb="4">
      <t>シヒョウ</t>
    </rPh>
    <rPh sb="4" eb="6">
      <t>チョウサ</t>
    </rPh>
    <rPh sb="6" eb="7">
      <t>ヒョウ</t>
    </rPh>
    <phoneticPr fontId="56"/>
  </si>
  <si>
    <t>条件付き書式設定</t>
    <rPh sb="0" eb="2">
      <t>ジョウケン</t>
    </rPh>
    <rPh sb="2" eb="3">
      <t>ツ</t>
    </rPh>
    <rPh sb="4" eb="6">
      <t>ショシキ</t>
    </rPh>
    <rPh sb="6" eb="8">
      <t>セッテイ</t>
    </rPh>
    <phoneticPr fontId="58"/>
  </si>
  <si>
    <t>✔</t>
  </si>
  <si>
    <t>企業名</t>
    <rPh sb="0" eb="2">
      <t>キギョウ</t>
    </rPh>
    <rPh sb="2" eb="3">
      <t>メイ</t>
    </rPh>
    <phoneticPr fontId="56"/>
  </si>
  <si>
    <t>コード</t>
    <phoneticPr fontId="56"/>
  </si>
  <si>
    <t>地域本部</t>
    <rPh sb="0" eb="2">
      <t>チイキ</t>
    </rPh>
    <rPh sb="2" eb="4">
      <t>ホンブ</t>
    </rPh>
    <phoneticPr fontId="56"/>
  </si>
  <si>
    <t>シニアAD</t>
    <phoneticPr fontId="56"/>
  </si>
  <si>
    <t>管理者</t>
    <rPh sb="0" eb="3">
      <t>カンリシャ</t>
    </rPh>
    <phoneticPr fontId="56"/>
  </si>
  <si>
    <t>担当職員</t>
    <rPh sb="0" eb="2">
      <t>タントウ</t>
    </rPh>
    <rPh sb="2" eb="4">
      <t>ショクイン</t>
    </rPh>
    <phoneticPr fontId="56"/>
  </si>
  <si>
    <t>期</t>
    <rPh sb="0" eb="1">
      <t>キ</t>
    </rPh>
    <phoneticPr fontId="56"/>
  </si>
  <si>
    <t>中間調査</t>
    <rPh sb="0" eb="2">
      <t>チュウカン</t>
    </rPh>
    <rPh sb="2" eb="4">
      <t>チョウサ</t>
    </rPh>
    <phoneticPr fontId="56"/>
  </si>
  <si>
    <t>終了調査</t>
    <rPh sb="0" eb="2">
      <t>シュウリョウ</t>
    </rPh>
    <rPh sb="2" eb="4">
      <t>チョウサ</t>
    </rPh>
    <phoneticPr fontId="56"/>
  </si>
  <si>
    <t>分類</t>
    <rPh sb="0" eb="2">
      <t>ブンルイ</t>
    </rPh>
    <phoneticPr fontId="56"/>
  </si>
  <si>
    <t>指標名</t>
    <rPh sb="0" eb="2">
      <t>シヒョウ</t>
    </rPh>
    <rPh sb="2" eb="3">
      <t>メイ</t>
    </rPh>
    <phoneticPr fontId="56"/>
  </si>
  <si>
    <t>単位</t>
    <rPh sb="0" eb="2">
      <t>タンイ</t>
    </rPh>
    <phoneticPr fontId="56"/>
  </si>
  <si>
    <t>年</t>
    <rPh sb="0" eb="1">
      <t>ネン</t>
    </rPh>
    <phoneticPr fontId="56"/>
  </si>
  <si>
    <t>月期</t>
    <rPh sb="0" eb="1">
      <t>ガツ</t>
    </rPh>
    <rPh sb="1" eb="2">
      <t>キ</t>
    </rPh>
    <phoneticPr fontId="56"/>
  </si>
  <si>
    <t>経営基本指標の変化</t>
    <rPh sb="0" eb="2">
      <t>ケイエイ</t>
    </rPh>
    <rPh sb="2" eb="4">
      <t>キホン</t>
    </rPh>
    <rPh sb="4" eb="6">
      <t>シヒョウ</t>
    </rPh>
    <rPh sb="7" eb="9">
      <t>ヘンカ</t>
    </rPh>
    <phoneticPr fontId="56"/>
  </si>
  <si>
    <t>資本金</t>
    <rPh sb="0" eb="3">
      <t>シホンキン</t>
    </rPh>
    <phoneticPr fontId="56"/>
  </si>
  <si>
    <t>千円</t>
    <rPh sb="0" eb="2">
      <t>センエン</t>
    </rPh>
    <phoneticPr fontId="56"/>
  </si>
  <si>
    <t>従業員数</t>
    <rPh sb="0" eb="3">
      <t>ジュウギョウイン</t>
    </rPh>
    <rPh sb="3" eb="4">
      <t>スウ</t>
    </rPh>
    <phoneticPr fontId="56"/>
  </si>
  <si>
    <t>人</t>
    <rPh sb="0" eb="1">
      <t>ニン</t>
    </rPh>
    <phoneticPr fontId="56"/>
  </si>
  <si>
    <t>売上高</t>
    <rPh sb="0" eb="2">
      <t>ウリアゲ</t>
    </rPh>
    <rPh sb="2" eb="3">
      <t>ダカ</t>
    </rPh>
    <phoneticPr fontId="56"/>
  </si>
  <si>
    <t>売上総利益</t>
    <rPh sb="0" eb="2">
      <t>ウリアゲ</t>
    </rPh>
    <rPh sb="2" eb="5">
      <t>ソウリエキ</t>
    </rPh>
    <phoneticPr fontId="56"/>
  </si>
  <si>
    <t>営業利益</t>
    <rPh sb="0" eb="2">
      <t>エイギョウ</t>
    </rPh>
    <rPh sb="2" eb="4">
      <t>リエキ</t>
    </rPh>
    <phoneticPr fontId="56"/>
  </si>
  <si>
    <t>経常利益</t>
    <rPh sb="0" eb="2">
      <t>ケイジョウ</t>
    </rPh>
    <rPh sb="2" eb="4">
      <t>リエキ</t>
    </rPh>
    <phoneticPr fontId="56"/>
  </si>
  <si>
    <t>税引後利益</t>
    <rPh sb="0" eb="2">
      <t>ゼイビキ</t>
    </rPh>
    <rPh sb="2" eb="3">
      <t>ゴ</t>
    </rPh>
    <rPh sb="3" eb="5">
      <t>リエキ</t>
    </rPh>
    <phoneticPr fontId="56"/>
  </si>
  <si>
    <t>減価償却費</t>
    <rPh sb="0" eb="2">
      <t>ゲンカ</t>
    </rPh>
    <rPh sb="2" eb="4">
      <t>ショウキャク</t>
    </rPh>
    <rPh sb="4" eb="5">
      <t>ヒ</t>
    </rPh>
    <phoneticPr fontId="56"/>
  </si>
  <si>
    <t>現預金残高</t>
    <rPh sb="0" eb="1">
      <t>ゲン</t>
    </rPh>
    <rPh sb="1" eb="3">
      <t>ヨキン</t>
    </rPh>
    <rPh sb="3" eb="5">
      <t>ザンダカ</t>
    </rPh>
    <phoneticPr fontId="56"/>
  </si>
  <si>
    <t>純資産</t>
    <rPh sb="0" eb="3">
      <t>ジュンシサン</t>
    </rPh>
    <phoneticPr fontId="56"/>
  </si>
  <si>
    <t>総資産</t>
    <rPh sb="0" eb="3">
      <t>ソウシサン</t>
    </rPh>
    <phoneticPr fontId="56"/>
  </si>
  <si>
    <t>借入金残高</t>
    <rPh sb="0" eb="2">
      <t>カリイレ</t>
    </rPh>
    <rPh sb="2" eb="3">
      <t>キン</t>
    </rPh>
    <rPh sb="3" eb="5">
      <t>ザンダカ</t>
    </rPh>
    <phoneticPr fontId="56"/>
  </si>
  <si>
    <t>経営指標分析</t>
    <rPh sb="0" eb="2">
      <t>ケイエイ</t>
    </rPh>
    <rPh sb="2" eb="4">
      <t>シヒョウ</t>
    </rPh>
    <rPh sb="4" eb="6">
      <t>ブンセキ</t>
    </rPh>
    <phoneticPr fontId="56"/>
  </si>
  <si>
    <t>売上高粗利益率</t>
    <rPh sb="0" eb="2">
      <t>ウリアゲ</t>
    </rPh>
    <rPh sb="2" eb="3">
      <t>ダカ</t>
    </rPh>
    <rPh sb="3" eb="6">
      <t>アラリエキ</t>
    </rPh>
    <rPh sb="6" eb="7">
      <t>リツ</t>
    </rPh>
    <phoneticPr fontId="56"/>
  </si>
  <si>
    <t>％</t>
    <phoneticPr fontId="56"/>
  </si>
  <si>
    <t>売上高営業利益率</t>
    <rPh sb="0" eb="2">
      <t>ウリアゲ</t>
    </rPh>
    <rPh sb="2" eb="3">
      <t>ダカ</t>
    </rPh>
    <rPh sb="3" eb="5">
      <t>エイギョウ</t>
    </rPh>
    <rPh sb="5" eb="7">
      <t>リエキ</t>
    </rPh>
    <rPh sb="7" eb="8">
      <t>リツ</t>
    </rPh>
    <phoneticPr fontId="56"/>
  </si>
  <si>
    <t>売上高経常利益率</t>
    <rPh sb="0" eb="2">
      <t>ウリアゲ</t>
    </rPh>
    <rPh sb="2" eb="3">
      <t>ダカ</t>
    </rPh>
    <rPh sb="3" eb="5">
      <t>ケイジョウ</t>
    </rPh>
    <rPh sb="5" eb="7">
      <t>リエキ</t>
    </rPh>
    <rPh sb="7" eb="8">
      <t>リツ</t>
    </rPh>
    <phoneticPr fontId="56"/>
  </si>
  <si>
    <t>自己資本比率</t>
    <rPh sb="0" eb="2">
      <t>ジコ</t>
    </rPh>
    <rPh sb="2" eb="4">
      <t>シホン</t>
    </rPh>
    <rPh sb="4" eb="6">
      <t>ヒリツ</t>
    </rPh>
    <phoneticPr fontId="56"/>
  </si>
  <si>
    <t>債務償還年数</t>
    <rPh sb="0" eb="2">
      <t>サイム</t>
    </rPh>
    <rPh sb="2" eb="4">
      <t>ショウカン</t>
    </rPh>
    <rPh sb="4" eb="6">
      <t>ネンスウ</t>
    </rPh>
    <phoneticPr fontId="56"/>
  </si>
  <si>
    <t>総資本回転率</t>
    <rPh sb="0" eb="3">
      <t>ソウシホン</t>
    </rPh>
    <rPh sb="3" eb="5">
      <t>カイテン</t>
    </rPh>
    <rPh sb="5" eb="6">
      <t>リツ</t>
    </rPh>
    <phoneticPr fontId="56"/>
  </si>
  <si>
    <t>回</t>
    <rPh sb="0" eb="1">
      <t>カイ</t>
    </rPh>
    <phoneticPr fontId="56"/>
  </si>
  <si>
    <t>総資本経常利益率</t>
    <rPh sb="0" eb="3">
      <t>ソウシホン</t>
    </rPh>
    <rPh sb="3" eb="5">
      <t>ケイジョウ</t>
    </rPh>
    <rPh sb="5" eb="7">
      <t>リエキ</t>
    </rPh>
    <rPh sb="7" eb="8">
      <t>リツ</t>
    </rPh>
    <phoneticPr fontId="56"/>
  </si>
  <si>
    <t>独自設定指標</t>
    <rPh sb="0" eb="2">
      <t>ドクジ</t>
    </rPh>
    <rPh sb="2" eb="4">
      <t>セッテイ</t>
    </rPh>
    <rPh sb="4" eb="6">
      <t>シヒョウ</t>
    </rPh>
    <phoneticPr fontId="56"/>
  </si>
  <si>
    <t>備考・その他</t>
    <rPh sb="0" eb="2">
      <t>ビコウ</t>
    </rPh>
    <rPh sb="5" eb="6">
      <t>タ</t>
    </rPh>
    <phoneticPr fontId="56"/>
  </si>
  <si>
    <t>関東</t>
    <rPh sb="0" eb="2">
      <t>カントウ</t>
    </rPh>
    <phoneticPr fontId="2"/>
  </si>
  <si>
    <t>2020年2月1日～
2021年1月31日</t>
    <rPh sb="4" eb="5">
      <t>ネン</t>
    </rPh>
    <rPh sb="6" eb="7">
      <t>ガツ</t>
    </rPh>
    <rPh sb="8" eb="9">
      <t>ニチ</t>
    </rPh>
    <rPh sb="15" eb="16">
      <t>ネン</t>
    </rPh>
    <rPh sb="17" eb="18">
      <t>ガツ</t>
    </rPh>
    <rPh sb="20" eb="21">
      <t>ニチ</t>
    </rPh>
    <phoneticPr fontId="2"/>
  </si>
  <si>
    <t>2021年2月1日～2022年1月31日</t>
    <phoneticPr fontId="2"/>
  </si>
  <si>
    <t>2022年2月1日～2023年1月31日</t>
    <phoneticPr fontId="2"/>
  </si>
  <si>
    <t>投資有価証券</t>
    <rPh sb="0" eb="6">
      <t>トウシユウカショウケン</t>
    </rPh>
    <phoneticPr fontId="2"/>
  </si>
  <si>
    <t>出資金</t>
    <rPh sb="0" eb="3">
      <t>シュッシキン</t>
    </rPh>
    <phoneticPr fontId="2"/>
  </si>
  <si>
    <t>敷金</t>
    <rPh sb="0" eb="2">
      <t>シキキン</t>
    </rPh>
    <phoneticPr fontId="2"/>
  </si>
  <si>
    <t>関係会社株式</t>
    <rPh sb="0" eb="2">
      <t>カンケイ</t>
    </rPh>
    <rPh sb="2" eb="4">
      <t>カイシャ</t>
    </rPh>
    <rPh sb="4" eb="6">
      <t>カブシキ</t>
    </rPh>
    <phoneticPr fontId="2"/>
  </si>
  <si>
    <t>保険積立金</t>
    <rPh sb="0" eb="2">
      <t>ホケン</t>
    </rPh>
    <rPh sb="2" eb="4">
      <t>ツミタテ</t>
    </rPh>
    <rPh sb="4" eb="5">
      <t>キン</t>
    </rPh>
    <phoneticPr fontId="2"/>
  </si>
  <si>
    <t>長期前払費用</t>
    <rPh sb="0" eb="2">
      <t>チョウキ</t>
    </rPh>
    <rPh sb="2" eb="6">
      <t>マエバライヒヨウ</t>
    </rPh>
    <phoneticPr fontId="2"/>
  </si>
  <si>
    <t>未払金</t>
    <rPh sb="0" eb="3">
      <t>ミバライキン</t>
    </rPh>
    <phoneticPr fontId="2"/>
  </si>
  <si>
    <t>未払費用</t>
    <rPh sb="0" eb="2">
      <t>ミバライ</t>
    </rPh>
    <rPh sb="2" eb="4">
      <t>ヒヨウ</t>
    </rPh>
    <phoneticPr fontId="2"/>
  </si>
  <si>
    <t>前受金</t>
    <rPh sb="0" eb="3">
      <t>マエウケキン</t>
    </rPh>
    <phoneticPr fontId="2"/>
  </si>
  <si>
    <t>預り金</t>
    <rPh sb="0" eb="1">
      <t>アズカ</t>
    </rPh>
    <rPh sb="2" eb="3">
      <t>キン</t>
    </rPh>
    <phoneticPr fontId="2"/>
  </si>
  <si>
    <t>賃金</t>
    <rPh sb="0" eb="2">
      <t>チンギン</t>
    </rPh>
    <phoneticPr fontId="2"/>
  </si>
  <si>
    <t>賞与</t>
    <rPh sb="0" eb="2">
      <t>ショウヨ</t>
    </rPh>
    <phoneticPr fontId="2"/>
  </si>
  <si>
    <t>退職金</t>
    <rPh sb="0" eb="3">
      <t>タイショクキン</t>
    </rPh>
    <phoneticPr fontId="2"/>
  </si>
  <si>
    <t>試作研究費</t>
    <rPh sb="0" eb="2">
      <t>シサク</t>
    </rPh>
    <rPh sb="2" eb="5">
      <t>ケンキュウヒ</t>
    </rPh>
    <phoneticPr fontId="2"/>
  </si>
  <si>
    <t>取扱手数料</t>
    <rPh sb="0" eb="2">
      <t>トリアツカイ</t>
    </rPh>
    <rPh sb="2" eb="5">
      <t>テスウリョウ</t>
    </rPh>
    <phoneticPr fontId="2"/>
  </si>
  <si>
    <t>旅費交通費</t>
    <rPh sb="0" eb="5">
      <t>リョヒコウツウヒ</t>
    </rPh>
    <phoneticPr fontId="3"/>
  </si>
  <si>
    <t>支払手数料</t>
    <rPh sb="0" eb="2">
      <t>シハライ</t>
    </rPh>
    <rPh sb="2" eb="5">
      <t>テスウリョウ</t>
    </rPh>
    <phoneticPr fontId="2"/>
  </si>
  <si>
    <t>荷造運賃</t>
    <rPh sb="0" eb="2">
      <t>ニヅク</t>
    </rPh>
    <rPh sb="2" eb="4">
      <t>ウンチン</t>
    </rPh>
    <phoneticPr fontId="2"/>
  </si>
  <si>
    <t>地代家賃</t>
    <rPh sb="0" eb="2">
      <t>チダイ</t>
    </rPh>
    <phoneticPr fontId="2"/>
  </si>
  <si>
    <t>保険料</t>
    <rPh sb="0" eb="3">
      <t>ホケンリョウ</t>
    </rPh>
    <phoneticPr fontId="2"/>
  </si>
  <si>
    <t>租税公課</t>
    <rPh sb="0" eb="4">
      <t>ソゼイコウカ</t>
    </rPh>
    <phoneticPr fontId="3"/>
  </si>
  <si>
    <t>広告宣伝費</t>
  </si>
  <si>
    <t>水道光熱費</t>
    <rPh sb="0" eb="2">
      <t>スイドウ</t>
    </rPh>
    <rPh sb="2" eb="5">
      <t>コウネツヒ</t>
    </rPh>
    <phoneticPr fontId="2"/>
  </si>
  <si>
    <t>事務用・備品消耗品費</t>
    <rPh sb="0" eb="3">
      <t>ジムヨウ</t>
    </rPh>
    <rPh sb="4" eb="6">
      <t>ビヒン</t>
    </rPh>
    <rPh sb="6" eb="8">
      <t>ショウモウ</t>
    </rPh>
    <rPh sb="8" eb="9">
      <t>ヒン</t>
    </rPh>
    <rPh sb="9" eb="10">
      <t>ヒ</t>
    </rPh>
    <phoneticPr fontId="2"/>
  </si>
  <si>
    <t>通信費</t>
    <rPh sb="0" eb="3">
      <t>ツウシンヒ</t>
    </rPh>
    <phoneticPr fontId="2"/>
  </si>
  <si>
    <t>その他雑費</t>
    <rPh sb="2" eb="3">
      <t>タ</t>
    </rPh>
    <rPh sb="3" eb="5">
      <t>ザッピ</t>
    </rPh>
    <phoneticPr fontId="2"/>
  </si>
  <si>
    <t>雑収入</t>
    <rPh sb="0" eb="3">
      <t>ザッシュウニュウ</t>
    </rPh>
    <phoneticPr fontId="2"/>
  </si>
  <si>
    <t>2899：その他電子部品・デバイス・電子回路製造業</t>
    <rPh sb="7" eb="8">
      <t>タ</t>
    </rPh>
    <rPh sb="8" eb="10">
      <t>デンシ</t>
    </rPh>
    <rPh sb="10" eb="12">
      <t>ブヒン</t>
    </rPh>
    <rPh sb="18" eb="20">
      <t>デンシ</t>
    </rPh>
    <rPh sb="20" eb="22">
      <t>カイロ</t>
    </rPh>
    <rPh sb="22" eb="24">
      <t>セイゾウ</t>
    </rPh>
    <rPh sb="24" eb="25">
      <t>ギョウ</t>
    </rPh>
    <phoneticPr fontId="2"/>
  </si>
  <si>
    <t>5億円～10億円</t>
    <rPh sb="1" eb="3">
      <t>オクエン</t>
    </rPh>
    <rPh sb="6" eb="8">
      <t>オクエン</t>
    </rPh>
    <phoneticPr fontId="2"/>
  </si>
  <si>
    <t>リース資産</t>
    <rPh sb="3" eb="5">
      <t>シサン</t>
    </rPh>
    <phoneticPr fontId="2"/>
  </si>
  <si>
    <t>リース債務</t>
    <rPh sb="3" eb="5">
      <t>サイム</t>
    </rPh>
    <phoneticPr fontId="2"/>
  </si>
  <si>
    <t>厚生費</t>
    <rPh sb="0" eb="3">
      <t>コウセイヒ</t>
    </rPh>
    <phoneticPr fontId="2"/>
  </si>
  <si>
    <t>保証金他</t>
    <rPh sb="0" eb="3">
      <t>ホショウキン</t>
    </rPh>
    <rPh sb="3" eb="4">
      <t>ホカ</t>
    </rPh>
    <phoneticPr fontId="2"/>
  </si>
  <si>
    <t>預り保証金他</t>
    <rPh sb="0" eb="1">
      <t>アズカ</t>
    </rPh>
    <rPh sb="2" eb="5">
      <t>ホショウキン</t>
    </rPh>
    <rPh sb="5" eb="6">
      <t>ホカ</t>
    </rPh>
    <phoneticPr fontId="2"/>
  </si>
  <si>
    <t>減価償却費</t>
    <phoneticPr fontId="2"/>
  </si>
  <si>
    <t>負債合計</t>
    <phoneticPr fontId="2"/>
  </si>
  <si>
    <t>建設仮勘定</t>
    <phoneticPr fontId="2"/>
  </si>
  <si>
    <t>前々期</t>
    <rPh sb="0" eb="3">
      <t>ゼンゼンキ</t>
    </rPh>
    <phoneticPr fontId="2"/>
  </si>
  <si>
    <t>前期</t>
    <rPh sb="0" eb="2">
      <t>ゼンキ</t>
    </rPh>
    <phoneticPr fontId="2"/>
  </si>
  <si>
    <t>今期</t>
    <rPh sb="0" eb="2">
      <t>コンキ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</si>
</sst>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176" formatCode="#,##0;&quot;▲ &quot;#,##0"/>
    <numFmt numFmtId="177" formatCode="0.0%"/>
    <numFmt numFmtId="178" formatCode="#,##0_ "/>
    <numFmt numFmtId="179" formatCode="#,##0.00;&quot;▲ &quot;#,##0.00"/>
    <numFmt numFmtId="180" formatCode="0;&quot;▲ &quot;0"/>
    <numFmt numFmtId="181" formatCode="#,##0.0%"/>
    <numFmt numFmtId="182" formatCode="#,##0.00&quot;月&quot;"/>
    <numFmt numFmtId="183" formatCode="#,##0.00&quot;月&quot;;&quot;▲ &quot;#,##0.00&quot;月&quot;"/>
    <numFmt numFmtId="184" formatCode="yyyy&quot;年&quot;m&quot;月&quot;d&quot;日&quot;;@"/>
    <numFmt numFmtId="185" formatCode="#,##0.0&quot;回&quot;"/>
    <numFmt numFmtId="186" formatCode="#,##0.0&quot;日&quot;"/>
    <numFmt numFmtId="187" formatCode="#,##0&quot;千円&quot;"/>
    <numFmt numFmtId="188" formatCode="#,##0.0&quot;月&quot;"/>
    <numFmt numFmtId="189" formatCode="#,##0.0&quot;年&quot;"/>
    <numFmt numFmtId="190" formatCode="#,##0.0&quot;倍&quot;"/>
    <numFmt numFmtId="191" formatCode="#,##0.0&quot;人&quot;"/>
    <numFmt numFmtId="192" formatCode="#,##0&quot;社&quot;"/>
    <numFmt numFmtId="193" formatCode="#,##0.0;&quot;▲ &quot;#,##0.0"/>
    <numFmt numFmtId="194" formatCode="0_);[Red]\(0\)"/>
    <numFmt numFmtId="195" formatCode="#,##0_);[Red]\(#,##0\)"/>
    <numFmt numFmtId="196" formatCode="#,##0.0_);[Red]\(#,##0.0\)"/>
  </numFmts>
  <fonts count="73" x14ac:knownFonts="1">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sz val="9"/>
      <name val="ＭＳ Ｐゴシック"/>
      <family val="3"/>
      <charset val="128"/>
    </font>
    <font>
      <sz val="10"/>
      <name val="ＭＳ Ｐゴシック"/>
      <family val="3"/>
      <charset val="128"/>
    </font>
    <font>
      <b/>
      <sz val="11"/>
      <name val="ＭＳ Ｐゴシック"/>
      <family val="3"/>
      <charset val="128"/>
    </font>
    <font>
      <b/>
      <sz val="12"/>
      <name val="ＭＳ Ｐゴシック"/>
      <family val="3"/>
      <charset val="128"/>
    </font>
    <font>
      <sz val="12"/>
      <name val="ＭＳ Ｐゴシック"/>
      <family val="3"/>
      <charset val="128"/>
    </font>
    <font>
      <b/>
      <sz val="14"/>
      <name val="ＭＳ Ｐゴシック"/>
      <family val="3"/>
      <charset val="128"/>
    </font>
    <font>
      <sz val="14"/>
      <name val="ＭＳ Ｐゴシック"/>
      <family val="3"/>
      <charset val="128"/>
    </font>
    <font>
      <sz val="11"/>
      <name val="ＭＳ ゴシック"/>
      <family val="3"/>
      <charset val="128"/>
    </font>
    <font>
      <sz val="11"/>
      <name val="ＭＳ Ｐゴシック"/>
      <family val="3"/>
      <charset val="128"/>
    </font>
    <font>
      <sz val="7"/>
      <name val="ＭＳ Ｐゴシック"/>
      <family val="3"/>
      <charset val="128"/>
    </font>
    <font>
      <sz val="11"/>
      <name val="HGP創英角ｺﾞｼｯｸUB"/>
      <family val="3"/>
      <charset val="128"/>
    </font>
    <font>
      <b/>
      <sz val="11"/>
      <color indexed="10"/>
      <name val="ＭＳ Ｐゴシック"/>
      <family val="3"/>
      <charset val="128"/>
    </font>
    <font>
      <sz val="14"/>
      <name val="HGP創英角ｺﾞｼｯｸUB"/>
      <family val="3"/>
      <charset val="128"/>
    </font>
    <font>
      <sz val="12"/>
      <name val="HGP創英角ｺﾞｼｯｸUB"/>
      <family val="3"/>
      <charset val="128"/>
    </font>
    <font>
      <sz val="9"/>
      <name val="HG丸ｺﾞｼｯｸM-PRO"/>
      <family val="3"/>
      <charset val="128"/>
    </font>
    <font>
      <sz val="10"/>
      <name val="HG丸ｺﾞｼｯｸM-PRO"/>
      <family val="3"/>
      <charset val="128"/>
    </font>
    <font>
      <sz val="11"/>
      <name val="HG丸ｺﾞｼｯｸM-PRO"/>
      <family val="3"/>
      <charset val="128"/>
    </font>
    <font>
      <u/>
      <sz val="11"/>
      <name val="ＭＳ Ｐゴシック"/>
      <family val="3"/>
      <charset val="128"/>
    </font>
    <font>
      <sz val="16"/>
      <name val="HGP創英角ｺﾞｼｯｸUB"/>
      <family val="3"/>
      <charset val="128"/>
    </font>
    <font>
      <sz val="12"/>
      <name val="HG丸ｺﾞｼｯｸM-PRO"/>
      <family val="3"/>
      <charset val="128"/>
    </font>
    <font>
      <sz val="11"/>
      <name val="ＭＳ Ｐゴシック"/>
      <family val="3"/>
      <charset val="128"/>
      <scheme val="major"/>
    </font>
    <font>
      <sz val="11"/>
      <name val="ＭＳ Ｐゴシック"/>
      <family val="3"/>
      <charset val="128"/>
      <scheme val="minor"/>
    </font>
    <font>
      <sz val="11"/>
      <color rgb="FFFF0000"/>
      <name val="ＭＳ Ｐゴシック"/>
      <family val="3"/>
      <charset val="128"/>
    </font>
    <font>
      <sz val="12"/>
      <name val="ＭＳ Ｐゴシック"/>
      <family val="3"/>
      <charset val="128"/>
      <scheme val="minor"/>
    </font>
    <font>
      <sz val="9"/>
      <color rgb="FFFF0000"/>
      <name val="ＭＳ Ｐゴシック"/>
      <family val="3"/>
      <charset val="128"/>
    </font>
    <font>
      <sz val="11"/>
      <color theme="0"/>
      <name val="ＭＳ Ｐゴシック"/>
      <family val="3"/>
      <charset val="128"/>
    </font>
    <font>
      <sz val="12"/>
      <color theme="0"/>
      <name val="HGP創英角ｺﾞｼｯｸUB"/>
      <family val="3"/>
      <charset val="128"/>
    </font>
    <font>
      <sz val="9"/>
      <color indexed="81"/>
      <name val="HG丸ｺﾞｼｯｸM-PRO"/>
      <family val="3"/>
      <charset val="128"/>
    </font>
    <font>
      <b/>
      <sz val="9"/>
      <color indexed="81"/>
      <name val="HG丸ｺﾞｼｯｸM-PRO"/>
      <family val="3"/>
      <charset val="128"/>
    </font>
    <font>
      <sz val="11"/>
      <color indexed="81"/>
      <name val="HG丸ｺﾞｼｯｸM-PRO"/>
      <family val="3"/>
      <charset val="128"/>
    </font>
    <font>
      <u/>
      <sz val="11"/>
      <color indexed="81"/>
      <name val="HG丸ｺﾞｼｯｸM-PRO"/>
      <family val="3"/>
      <charset val="128"/>
    </font>
    <font>
      <b/>
      <sz val="10"/>
      <color rgb="FFFF0000"/>
      <name val="ＭＳ Ｐゴシック"/>
      <family val="3"/>
      <charset val="128"/>
    </font>
    <font>
      <sz val="18"/>
      <name val="HGP創英角ｺﾞｼｯｸUB"/>
      <family val="3"/>
      <charset val="128"/>
    </font>
    <font>
      <sz val="14"/>
      <color theme="0"/>
      <name val="ＭＳ Ｐゴシック"/>
      <family val="3"/>
      <charset val="128"/>
    </font>
    <font>
      <u/>
      <sz val="11"/>
      <color theme="10"/>
      <name val="ＭＳ Ｐゴシック"/>
      <family val="3"/>
      <charset val="128"/>
    </font>
    <font>
      <sz val="16"/>
      <name val="ＭＳ Ｐゴシック"/>
      <family val="3"/>
      <charset val="128"/>
    </font>
    <font>
      <b/>
      <sz val="16"/>
      <name val="ＭＳ Ｐゴシック"/>
      <family val="3"/>
      <charset val="128"/>
    </font>
    <font>
      <sz val="16"/>
      <name val="HG丸ｺﾞｼｯｸM-PRO"/>
      <family val="3"/>
      <charset val="128"/>
    </font>
    <font>
      <i/>
      <sz val="14"/>
      <name val="ＭＳ Ｐゴシック"/>
      <family val="3"/>
      <charset val="128"/>
    </font>
    <font>
      <b/>
      <sz val="14"/>
      <color indexed="10"/>
      <name val="ＭＳ Ｐゴシック"/>
      <family val="3"/>
      <charset val="128"/>
    </font>
    <font>
      <sz val="14"/>
      <color indexed="8"/>
      <name val="ＭＳ Ｐゴシック"/>
      <family val="3"/>
      <charset val="128"/>
    </font>
    <font>
      <sz val="14"/>
      <color theme="10"/>
      <name val="HG創英角ｺﾞｼｯｸUB"/>
      <family val="3"/>
      <charset val="128"/>
    </font>
    <font>
      <u/>
      <sz val="18"/>
      <name val="ＭＳ Ｐゴシック"/>
      <family val="3"/>
      <charset val="128"/>
    </font>
    <font>
      <i/>
      <sz val="12"/>
      <name val="ＭＳ Ｐゴシック"/>
      <family val="3"/>
      <charset val="128"/>
    </font>
    <font>
      <u val="double"/>
      <sz val="12"/>
      <name val="ＭＳ Ｐゴシック"/>
      <family val="3"/>
      <charset val="128"/>
    </font>
    <font>
      <i/>
      <sz val="16"/>
      <name val="ＭＳ Ｐゴシック"/>
      <family val="3"/>
      <charset val="128"/>
    </font>
    <font>
      <b/>
      <sz val="12"/>
      <color indexed="12"/>
      <name val="ＭＳ Ｐゴシック"/>
      <family val="3"/>
      <charset val="128"/>
    </font>
    <font>
      <sz val="14"/>
      <color theme="9"/>
      <name val="ＭＳ Ｐゴシック"/>
      <family val="3"/>
      <charset val="128"/>
    </font>
    <font>
      <b/>
      <sz val="10"/>
      <name val="ＭＳ Ｐゴシック"/>
      <family val="3"/>
      <charset val="128"/>
    </font>
    <font>
      <sz val="10"/>
      <color theme="1"/>
      <name val="Meiryo UI"/>
      <family val="2"/>
      <charset val="128"/>
    </font>
    <font>
      <sz val="8"/>
      <color theme="1"/>
      <name val="BIZ UDPゴシック"/>
      <family val="3"/>
      <charset val="128"/>
    </font>
    <font>
      <b/>
      <sz val="14"/>
      <color theme="1"/>
      <name val="BIZ UDPゴシック"/>
      <family val="3"/>
      <charset val="128"/>
    </font>
    <font>
      <sz val="6"/>
      <name val="Meiryo UI"/>
      <family val="2"/>
      <charset val="128"/>
    </font>
    <font>
      <sz val="8"/>
      <color theme="0" tint="-0.249977111117893"/>
      <name val="BIZ UDPゴシック"/>
      <family val="3"/>
      <charset val="128"/>
    </font>
    <font>
      <sz val="6"/>
      <name val="BIZ UDPゴシック"/>
      <family val="2"/>
      <charset val="128"/>
    </font>
    <font>
      <sz val="8"/>
      <color theme="0" tint="-0.249977111117893"/>
      <name val="Segoe UI Symbol"/>
      <family val="3"/>
    </font>
    <font>
      <sz val="6"/>
      <color theme="1"/>
      <name val="BIZ UDPゴシック"/>
      <family val="3"/>
      <charset val="128"/>
    </font>
    <font>
      <b/>
      <sz val="7"/>
      <color theme="1"/>
      <name val="BIZ UDPゴシック"/>
      <family val="3"/>
      <charset val="128"/>
    </font>
    <font>
      <sz val="9"/>
      <color theme="1"/>
      <name val="BIZ UDPゴシック"/>
      <family val="3"/>
      <charset val="128"/>
    </font>
    <font>
      <sz val="10"/>
      <color theme="1"/>
      <name val="BIZ UDPゴシック"/>
      <family val="3"/>
      <charset val="128"/>
    </font>
    <font>
      <sz val="7"/>
      <color theme="1"/>
      <name val="BIZ UDPゴシック"/>
      <family val="3"/>
      <charset val="128"/>
    </font>
    <font>
      <b/>
      <sz val="8"/>
      <color theme="1"/>
      <name val="BIZ UDPゴシック"/>
      <family val="3"/>
      <charset val="128"/>
    </font>
    <font>
      <b/>
      <sz val="9"/>
      <color rgb="FFFF0000"/>
      <name val="HG丸ｺﾞｼｯｸM-PRO"/>
      <family val="3"/>
      <charset val="128"/>
    </font>
    <font>
      <b/>
      <sz val="9"/>
      <name val="HG丸ｺﾞｼｯｸM-PRO"/>
      <family val="3"/>
      <charset val="128"/>
    </font>
    <font>
      <b/>
      <sz val="9"/>
      <color rgb="FF3333FF"/>
      <name val="HG丸ｺﾞｼｯｸM-PRO"/>
      <family val="3"/>
      <charset val="128"/>
    </font>
    <font>
      <b/>
      <sz val="9"/>
      <name val="ＭＳ Ｐゴシック"/>
      <family val="3"/>
      <charset val="128"/>
    </font>
    <font>
      <b/>
      <sz val="9"/>
      <color rgb="FFFF0000"/>
      <name val="ＭＳ Ｐゴシック"/>
      <family val="3"/>
      <charset val="128"/>
    </font>
    <font>
      <sz val="18"/>
      <name val="ＭＳ Ｐゴシック"/>
      <family val="3"/>
      <charset val="128"/>
    </font>
    <font>
      <b/>
      <sz val="11"/>
      <color rgb="FFFF0000"/>
      <name val="ＭＳ Ｐゴシック"/>
      <family val="3"/>
      <charset val="128"/>
    </font>
  </fonts>
  <fills count="27">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4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CFFFF"/>
        <bgColor indexed="64"/>
      </patternFill>
    </fill>
    <fill>
      <patternFill patternType="solid">
        <fgColor theme="3"/>
        <bgColor indexed="64"/>
      </patternFill>
    </fill>
    <fill>
      <patternFill patternType="solid">
        <fgColor theme="9" tint="0.59996337778862885"/>
        <bgColor indexed="64"/>
      </patternFill>
    </fill>
    <fill>
      <patternFill patternType="gray125">
        <bgColor indexed="9"/>
      </patternFill>
    </fill>
    <fill>
      <patternFill patternType="solid">
        <fgColor indexed="9"/>
        <bgColor indexed="64"/>
      </patternFill>
    </fill>
    <fill>
      <patternFill patternType="solid">
        <fgColor theme="9" tint="0.39994506668294322"/>
        <bgColor indexed="64"/>
      </patternFill>
    </fill>
    <fill>
      <patternFill patternType="solid">
        <fgColor indexed="43"/>
        <bgColor indexed="9"/>
      </patternFill>
    </fill>
    <fill>
      <patternFill patternType="solid">
        <fgColor rgb="FF99FF99"/>
        <bgColor indexed="9"/>
      </patternFill>
    </fill>
    <fill>
      <patternFill patternType="solid">
        <fgColor indexed="15"/>
        <bgColor indexed="9"/>
      </patternFill>
    </fill>
    <fill>
      <patternFill patternType="solid">
        <fgColor indexed="45"/>
        <bgColor indexed="9"/>
      </patternFill>
    </fill>
    <fill>
      <patternFill patternType="solid">
        <fgColor theme="8" tint="0.79998168889431442"/>
        <bgColor indexed="64"/>
      </patternFill>
    </fill>
    <fill>
      <patternFill patternType="solid">
        <fgColor rgb="FFFCD5B4"/>
        <bgColor indexed="64"/>
      </patternFill>
    </fill>
  </fills>
  <borders count="28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thin">
        <color indexed="64"/>
      </right>
      <top/>
      <bottom/>
      <diagonal/>
    </border>
    <border>
      <left style="dashDot">
        <color indexed="64"/>
      </left>
      <right/>
      <top style="thin">
        <color indexed="64"/>
      </top>
      <bottom style="thin">
        <color indexed="64"/>
      </bottom>
      <diagonal/>
    </border>
    <border>
      <left/>
      <right style="thin">
        <color indexed="64"/>
      </right>
      <top/>
      <bottom style="thin">
        <color indexed="64"/>
      </bottom>
      <diagonal/>
    </border>
    <border>
      <left style="dashDot">
        <color indexed="64"/>
      </left>
      <right/>
      <top style="thin">
        <color indexed="64"/>
      </top>
      <bottom/>
      <diagonal/>
    </border>
    <border>
      <left style="dashDot">
        <color indexed="64"/>
      </left>
      <right/>
      <top/>
      <bottom style="thin">
        <color indexed="64"/>
      </bottom>
      <diagonal/>
    </border>
    <border>
      <left style="dashDot">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style="dashDot">
        <color indexed="64"/>
      </left>
      <right/>
      <top/>
      <bottom style="double">
        <color indexed="64"/>
      </bottom>
      <diagonal/>
    </border>
    <border>
      <left style="dashDot">
        <color indexed="64"/>
      </left>
      <right/>
      <top style="medium">
        <color indexed="64"/>
      </top>
      <bottom style="medium">
        <color indexed="64"/>
      </bottom>
      <diagonal/>
    </border>
    <border>
      <left/>
      <right/>
      <top/>
      <bottom style="thin">
        <color indexed="64"/>
      </bottom>
      <diagonal/>
    </border>
    <border>
      <left style="dashDot">
        <color indexed="64"/>
      </left>
      <right style="thin">
        <color indexed="64"/>
      </right>
      <top style="thin">
        <color indexed="64"/>
      </top>
      <bottom style="thin">
        <color indexed="64"/>
      </bottom>
      <diagonal/>
    </border>
    <border>
      <left/>
      <right style="thin">
        <color indexed="64"/>
      </right>
      <top/>
      <bottom style="double">
        <color indexed="64"/>
      </bottom>
      <diagonal/>
    </border>
    <border>
      <left style="medium">
        <color indexed="64"/>
      </left>
      <right/>
      <top/>
      <bottom style="double">
        <color indexed="64"/>
      </bottom>
      <diagonal/>
    </border>
    <border>
      <left style="dashDot">
        <color indexed="64"/>
      </left>
      <right style="thin">
        <color indexed="64"/>
      </right>
      <top style="thin">
        <color indexed="64"/>
      </top>
      <bottom/>
      <diagonal/>
    </border>
    <border>
      <left style="thin">
        <color indexed="64"/>
      </left>
      <right/>
      <top/>
      <bottom style="double">
        <color indexed="64"/>
      </bottom>
      <diagonal/>
    </border>
    <border>
      <left style="dashDot">
        <color indexed="64"/>
      </left>
      <right style="thin">
        <color indexed="64"/>
      </right>
      <top/>
      <bottom style="double">
        <color indexed="64"/>
      </bottom>
      <diagonal/>
    </border>
    <border>
      <left style="thin">
        <color indexed="64"/>
      </left>
      <right/>
      <top style="double">
        <color indexed="64"/>
      </top>
      <bottom/>
      <diagonal/>
    </border>
    <border>
      <left style="medium">
        <color indexed="64"/>
      </left>
      <right/>
      <top style="double">
        <color indexed="64"/>
      </top>
      <bottom/>
      <diagonal/>
    </border>
    <border>
      <left/>
      <right style="thin">
        <color indexed="64"/>
      </right>
      <top style="double">
        <color indexed="64"/>
      </top>
      <bottom/>
      <diagonal/>
    </border>
    <border>
      <left style="dashDot">
        <color indexed="64"/>
      </left>
      <right style="thin">
        <color indexed="64"/>
      </right>
      <top style="double">
        <color indexed="64"/>
      </top>
      <bottom/>
      <diagonal/>
    </border>
    <border>
      <left style="dashDot">
        <color indexed="64"/>
      </left>
      <right style="thin">
        <color indexed="64"/>
      </right>
      <top/>
      <bottom/>
      <diagonal/>
    </border>
    <border>
      <left style="thin">
        <color indexed="64"/>
      </left>
      <right/>
      <top/>
      <bottom style="thin">
        <color indexed="64"/>
      </bottom>
      <diagonal/>
    </border>
    <border>
      <left style="dashDot">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medium">
        <color indexed="64"/>
      </top>
      <bottom style="double">
        <color indexed="64"/>
      </bottom>
      <diagonal/>
    </border>
    <border>
      <left/>
      <right/>
      <top style="double">
        <color indexed="64"/>
      </top>
      <bottom/>
      <diagonal/>
    </border>
    <border>
      <left style="thin">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right/>
      <top style="thin">
        <color indexed="64"/>
      </top>
      <bottom style="medium">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top/>
      <bottom style="medium">
        <color indexed="64"/>
      </bottom>
      <diagonal/>
    </border>
    <border>
      <left style="thin">
        <color indexed="64"/>
      </left>
      <right/>
      <top style="hair">
        <color indexed="64"/>
      </top>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hair">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style="thick">
        <color indexed="64"/>
      </left>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style="thick">
        <color indexed="64"/>
      </right>
      <top/>
      <bottom style="hair">
        <color indexed="64"/>
      </bottom>
      <diagonal/>
    </border>
    <border>
      <left style="thick">
        <color indexed="64"/>
      </left>
      <right/>
      <top/>
      <bottom style="hair">
        <color indexed="64"/>
      </bottom>
      <diagonal/>
    </border>
    <border>
      <left style="thin">
        <color indexed="64"/>
      </left>
      <right style="medium">
        <color indexed="64"/>
      </right>
      <top/>
      <bottom style="hair">
        <color indexed="64"/>
      </bottom>
      <diagonal/>
    </border>
    <border>
      <left style="double">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double">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double">
        <color indexed="64"/>
      </left>
      <right style="thick">
        <color indexed="64"/>
      </right>
      <top style="hair">
        <color indexed="64"/>
      </top>
      <bottom style="thin">
        <color indexed="64"/>
      </bottom>
      <diagonal/>
    </border>
    <border>
      <left style="thick">
        <color indexed="64"/>
      </left>
      <right/>
      <top style="hair">
        <color indexed="64"/>
      </top>
      <bottom style="thin">
        <color indexed="64"/>
      </bottom>
      <diagonal/>
    </border>
    <border>
      <left style="double">
        <color indexed="64"/>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hair">
        <color indexed="64"/>
      </bottom>
      <diagonal/>
    </border>
    <border>
      <left style="double">
        <color indexed="64"/>
      </left>
      <right style="thick">
        <color indexed="64"/>
      </right>
      <top style="thin">
        <color indexed="64"/>
      </top>
      <bottom style="hair">
        <color indexed="64"/>
      </bottom>
      <diagonal/>
    </border>
    <border>
      <left style="thick">
        <color indexed="64"/>
      </left>
      <right/>
      <top style="thin">
        <color indexed="64"/>
      </top>
      <bottom style="hair">
        <color indexed="64"/>
      </bottom>
      <diagonal/>
    </border>
    <border>
      <left style="double">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ck">
        <color indexed="64"/>
      </right>
      <top style="thin">
        <color indexed="64"/>
      </top>
      <bottom style="thin">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double">
        <color indexed="64"/>
      </left>
      <right style="thick">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double">
        <color indexed="64"/>
      </left>
      <right style="thick">
        <color indexed="64"/>
      </right>
      <top style="thin">
        <color indexed="64"/>
      </top>
      <bottom/>
      <diagonal/>
    </border>
    <border>
      <left style="thick">
        <color indexed="64"/>
      </left>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ck">
        <color indexed="64"/>
      </left>
      <right style="thin">
        <color indexed="64"/>
      </right>
      <top style="hair">
        <color indexed="64"/>
      </top>
      <bottom style="hair">
        <color indexed="64"/>
      </bottom>
      <diagonal/>
    </border>
    <border>
      <left style="thick">
        <color indexed="64"/>
      </left>
      <right style="thin">
        <color indexed="64"/>
      </right>
      <top style="hair">
        <color indexed="64"/>
      </top>
      <bottom style="thin">
        <color indexed="64"/>
      </bottom>
      <diagonal/>
    </border>
    <border>
      <left style="thin">
        <color indexed="64"/>
      </left>
      <right/>
      <top style="thick">
        <color indexed="64"/>
      </top>
      <bottom style="thick">
        <color indexed="64"/>
      </bottom>
      <diagonal/>
    </border>
    <border>
      <left style="double">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style="thin">
        <color indexed="64"/>
      </right>
      <top style="thick">
        <color indexed="64"/>
      </top>
      <bottom style="thick">
        <color indexed="64"/>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style="thick">
        <color indexed="64"/>
      </left>
      <right style="thin">
        <color indexed="64"/>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top style="hair">
        <color indexed="64"/>
      </top>
      <bottom style="medium">
        <color indexed="64"/>
      </bottom>
      <diagonal/>
    </border>
    <border>
      <left style="thick">
        <color indexed="64"/>
      </left>
      <right style="thin">
        <color indexed="64"/>
      </right>
      <top style="hair">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ck">
        <color indexed="64"/>
      </left>
      <right style="thin">
        <color indexed="64"/>
      </right>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hair">
        <color indexed="64"/>
      </top>
      <bottom style="thick">
        <color indexed="64"/>
      </bottom>
      <diagonal/>
    </border>
    <border>
      <left/>
      <right/>
      <top/>
      <bottom style="double">
        <color indexed="64"/>
      </bottom>
      <diagonal/>
    </border>
    <border>
      <left style="double">
        <color indexed="64"/>
      </left>
      <right/>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double">
        <color indexed="64"/>
      </left>
      <right style="thin">
        <color indexed="64"/>
      </right>
      <top style="thick">
        <color indexed="64"/>
      </top>
      <bottom style="thick">
        <color indexed="64"/>
      </bottom>
      <diagonal/>
    </border>
    <border>
      <left style="double">
        <color indexed="64"/>
      </left>
      <right style="thin">
        <color indexed="64"/>
      </right>
      <top style="thick">
        <color indexed="64"/>
      </top>
      <bottom style="hair">
        <color indexed="64"/>
      </bottom>
      <diagonal/>
    </border>
    <border>
      <left style="double">
        <color indexed="64"/>
      </left>
      <right style="thin">
        <color indexed="64"/>
      </right>
      <top style="hair">
        <color indexed="64"/>
      </top>
      <bottom style="medium">
        <color indexed="64"/>
      </bottom>
      <diagonal/>
    </border>
    <border>
      <left style="medium">
        <color indexed="64"/>
      </left>
      <right style="thin">
        <color indexed="64"/>
      </right>
      <top style="thick">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double">
        <color indexed="64"/>
      </left>
      <right/>
      <top/>
      <bottom style="thin">
        <color indexed="64"/>
      </bottom>
      <diagonal/>
    </border>
    <border>
      <left style="thin">
        <color indexed="64"/>
      </left>
      <right style="medium">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ck">
        <color indexed="64"/>
      </bottom>
      <diagonal/>
    </border>
    <border>
      <left style="double">
        <color indexed="64"/>
      </left>
      <right/>
      <top style="thick">
        <color indexed="64"/>
      </top>
      <bottom style="thick">
        <color indexed="64"/>
      </bottom>
      <diagonal/>
    </border>
    <border>
      <left style="double">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double">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right/>
      <top style="hair">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hair">
        <color indexed="64"/>
      </top>
      <bottom/>
      <diagonal/>
    </border>
    <border>
      <left style="thin">
        <color indexed="64"/>
      </left>
      <right style="hair">
        <color indexed="64"/>
      </right>
      <top/>
      <bottom style="thin">
        <color indexed="64"/>
      </bottom>
      <diagonal/>
    </border>
    <border>
      <left style="medium">
        <color indexed="64"/>
      </left>
      <right style="thin">
        <color indexed="64"/>
      </right>
      <top/>
      <bottom style="medium">
        <color indexed="64"/>
      </bottom>
      <diagonal/>
    </border>
    <border>
      <left/>
      <right style="medium">
        <color theme="0"/>
      </right>
      <top style="thin">
        <color indexed="64"/>
      </top>
      <bottom style="thin">
        <color indexed="64"/>
      </bottom>
      <diagonal/>
    </border>
    <border>
      <left style="medium">
        <color theme="0"/>
      </left>
      <right style="medium">
        <color theme="0"/>
      </right>
      <top style="thin">
        <color indexed="64"/>
      </top>
      <bottom style="thin">
        <color indexed="64"/>
      </bottom>
      <diagonal/>
    </border>
    <border>
      <left style="medium">
        <color theme="0"/>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top style="hair">
        <color indexed="64"/>
      </top>
      <bottom/>
      <diagonal/>
    </border>
    <border>
      <left style="thin">
        <color indexed="64"/>
      </left>
      <right style="medium">
        <color indexed="64"/>
      </right>
      <top style="hair">
        <color indexed="64"/>
      </top>
      <bottom/>
      <diagonal/>
    </border>
    <border>
      <left/>
      <right style="medium">
        <color indexed="64"/>
      </right>
      <top/>
      <bottom style="thin">
        <color indexed="64"/>
      </bottom>
      <diagonal/>
    </border>
    <border>
      <left style="thin">
        <color indexed="64"/>
      </left>
      <right/>
      <top/>
      <bottom style="dashDot">
        <color indexed="64"/>
      </bottom>
      <diagonal/>
    </border>
    <border>
      <left/>
      <right/>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top style="dashDot">
        <color indexed="64"/>
      </top>
      <bottom/>
      <diagonal/>
    </border>
    <border>
      <left/>
      <right style="thin">
        <color indexed="64"/>
      </right>
      <top style="dashDot">
        <color indexed="64"/>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diagonal/>
    </border>
    <border>
      <left/>
      <right/>
      <top style="thin">
        <color theme="0"/>
      </top>
      <bottom/>
      <diagonal/>
    </border>
    <border>
      <left/>
      <right style="thin">
        <color indexed="64"/>
      </right>
      <top style="thin">
        <color theme="0"/>
      </top>
      <bottom/>
      <diagonal/>
    </border>
    <border>
      <left style="medium">
        <color indexed="64"/>
      </left>
      <right style="thin">
        <color indexed="64"/>
      </right>
      <top/>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thin">
        <color indexed="64"/>
      </top>
      <bottom style="medium">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double">
        <color indexed="64"/>
      </left>
      <right style="double">
        <color indexed="64"/>
      </right>
      <top/>
      <bottom style="double">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s>
  <cellStyleXfs count="10">
    <xf numFmtId="0" fontId="0" fillId="0" borderId="0"/>
    <xf numFmtId="9" fontId="1" fillId="0" borderId="0" applyFont="0" applyFill="0" applyBorder="0" applyAlignment="0" applyProtection="0"/>
    <xf numFmtId="38" fontId="1" fillId="0" borderId="0" applyFont="0" applyFill="0" applyBorder="0" applyAlignment="0" applyProtection="0"/>
    <xf numFmtId="38" fontId="12" fillId="0" borderId="0" applyFont="0" applyFill="0" applyBorder="0" applyAlignment="0" applyProtection="0">
      <alignment vertical="center"/>
    </xf>
    <xf numFmtId="6" fontId="1" fillId="0" borderId="0" applyFont="0" applyFill="0" applyBorder="0" applyAlignment="0" applyProtection="0"/>
    <xf numFmtId="0" fontId="12" fillId="0" borderId="0">
      <alignment vertical="center"/>
    </xf>
    <xf numFmtId="38" fontId="1" fillId="0" borderId="0" applyFont="0" applyFill="0" applyBorder="0" applyAlignment="0" applyProtection="0">
      <alignment vertical="center"/>
    </xf>
    <xf numFmtId="0" fontId="1" fillId="0" borderId="0">
      <alignment vertical="center"/>
    </xf>
    <xf numFmtId="0" fontId="38" fillId="0" borderId="0" applyNumberFormat="0" applyFill="0" applyBorder="0" applyAlignment="0" applyProtection="0"/>
    <xf numFmtId="0" fontId="53" fillId="0" borderId="0">
      <alignment vertical="center"/>
    </xf>
  </cellStyleXfs>
  <cellXfs count="2326">
    <xf numFmtId="0" fontId="0" fillId="0" borderId="0" xfId="0"/>
    <xf numFmtId="176" fontId="1" fillId="0" borderId="0" xfId="4" applyNumberFormat="1" applyFill="1" applyBorder="1" applyAlignment="1">
      <alignment vertical="center"/>
    </xf>
    <xf numFmtId="176" fontId="0" fillId="0" borderId="0" xfId="4" applyNumberFormat="1" applyFont="1" applyFill="1" applyBorder="1" applyAlignment="1">
      <alignment vertical="center"/>
    </xf>
    <xf numFmtId="176" fontId="1" fillId="0" borderId="0" xfId="4" applyNumberFormat="1" applyFont="1" applyFill="1" applyBorder="1" applyAlignment="1">
      <alignment vertical="center"/>
    </xf>
    <xf numFmtId="0" fontId="0" fillId="0" borderId="0" xfId="0" applyAlignment="1">
      <alignment vertical="center"/>
    </xf>
    <xf numFmtId="176" fontId="1" fillId="0" borderId="2" xfId="4" applyNumberFormat="1" applyFill="1" applyBorder="1" applyAlignment="1">
      <alignment vertical="center"/>
    </xf>
    <xf numFmtId="176" fontId="1" fillId="0" borderId="3" xfId="4" applyNumberFormat="1" applyFill="1" applyBorder="1" applyAlignment="1">
      <alignment vertical="center"/>
    </xf>
    <xf numFmtId="176" fontId="1" fillId="0" borderId="4" xfId="4" applyNumberFormat="1" applyFill="1" applyBorder="1" applyAlignment="1">
      <alignment vertical="center"/>
    </xf>
    <xf numFmtId="176" fontId="16" fillId="0" borderId="0" xfId="4" applyNumberFormat="1" applyFont="1" applyFill="1" applyBorder="1" applyAlignment="1">
      <alignment vertical="center"/>
    </xf>
    <xf numFmtId="176" fontId="4" fillId="5" borderId="2" xfId="4" applyNumberFormat="1" applyFont="1" applyFill="1" applyBorder="1" applyAlignment="1" applyProtection="1">
      <alignment horizontal="center" vertical="center" wrapText="1"/>
      <protection locked="0"/>
    </xf>
    <xf numFmtId="176" fontId="1" fillId="0" borderId="14" xfId="4" applyNumberFormat="1" applyFill="1" applyBorder="1" applyAlignment="1">
      <alignment vertical="center"/>
    </xf>
    <xf numFmtId="176" fontId="12" fillId="0" borderId="0" xfId="4" applyNumberFormat="1" applyFont="1" applyFill="1" applyBorder="1" applyAlignment="1">
      <alignment vertical="center"/>
    </xf>
    <xf numFmtId="176" fontId="1" fillId="0" borderId="0" xfId="4" applyNumberFormat="1" applyFont="1" applyFill="1" applyBorder="1" applyAlignment="1">
      <alignment horizontal="right" vertical="center"/>
    </xf>
    <xf numFmtId="176" fontId="17" fillId="0" borderId="0" xfId="4" applyNumberFormat="1" applyFont="1" applyFill="1" applyBorder="1" applyAlignment="1">
      <alignment vertical="center"/>
    </xf>
    <xf numFmtId="176" fontId="6" fillId="0" borderId="0" xfId="4" applyNumberFormat="1" applyFont="1" applyFill="1" applyBorder="1" applyAlignment="1">
      <alignment vertical="center"/>
    </xf>
    <xf numFmtId="176" fontId="9" fillId="0" borderId="0" xfId="4" applyNumberFormat="1" applyFont="1" applyFill="1" applyBorder="1" applyAlignment="1">
      <alignment vertical="center"/>
    </xf>
    <xf numFmtId="176" fontId="14" fillId="0" borderId="0" xfId="4" applyNumberFormat="1" applyFont="1" applyFill="1" applyBorder="1" applyAlignment="1">
      <alignment vertical="center"/>
    </xf>
    <xf numFmtId="176" fontId="1" fillId="0" borderId="0" xfId="4" applyNumberFormat="1" applyFill="1" applyBorder="1" applyAlignment="1">
      <alignment vertical="center" shrinkToFit="1"/>
    </xf>
    <xf numFmtId="176" fontId="12" fillId="0" borderId="11" xfId="4" applyNumberFormat="1" applyFont="1" applyFill="1" applyBorder="1" applyAlignment="1">
      <alignment vertical="center" shrinkToFit="1"/>
    </xf>
    <xf numFmtId="176" fontId="1" fillId="6" borderId="11" xfId="4" applyNumberFormat="1" applyFill="1" applyBorder="1" applyAlignment="1" applyProtection="1">
      <alignment vertical="center"/>
      <protection locked="0"/>
    </xf>
    <xf numFmtId="178" fontId="12" fillId="5" borderId="11" xfId="4" applyNumberFormat="1" applyFont="1" applyFill="1" applyBorder="1" applyAlignment="1" applyProtection="1">
      <alignment vertical="center"/>
      <protection locked="0"/>
    </xf>
    <xf numFmtId="178" fontId="12" fillId="5" borderId="18" xfId="4" applyNumberFormat="1" applyFont="1" applyFill="1" applyBorder="1" applyAlignment="1" applyProtection="1">
      <alignment vertical="center"/>
      <protection locked="0"/>
    </xf>
    <xf numFmtId="178" fontId="12" fillId="5" borderId="4" xfId="4" applyNumberFormat="1" applyFont="1" applyFill="1" applyBorder="1" applyAlignment="1" applyProtection="1">
      <alignment vertical="center"/>
      <protection locked="0"/>
    </xf>
    <xf numFmtId="177" fontId="1" fillId="5" borderId="5" xfId="4" applyNumberFormat="1" applyFill="1" applyBorder="1" applyAlignment="1" applyProtection="1">
      <alignment vertical="center"/>
      <protection locked="0"/>
    </xf>
    <xf numFmtId="177" fontId="1" fillId="5" borderId="7" xfId="4" applyNumberFormat="1" applyFill="1" applyBorder="1" applyAlignment="1" applyProtection="1">
      <alignment vertical="center"/>
      <protection locked="0"/>
    </xf>
    <xf numFmtId="176" fontId="1" fillId="5" borderId="5" xfId="4" applyNumberFormat="1" applyFill="1" applyBorder="1" applyAlignment="1" applyProtection="1">
      <alignment vertical="center"/>
      <protection locked="0"/>
    </xf>
    <xf numFmtId="176" fontId="1" fillId="5" borderId="7" xfId="4" applyNumberFormat="1" applyFill="1" applyBorder="1" applyAlignment="1" applyProtection="1">
      <alignment vertical="center"/>
      <protection locked="0"/>
    </xf>
    <xf numFmtId="176" fontId="6" fillId="7" borderId="0" xfId="4" applyNumberFormat="1" applyFont="1" applyFill="1" applyBorder="1" applyAlignment="1">
      <alignment vertical="center"/>
    </xf>
    <xf numFmtId="176" fontId="1" fillId="7" borderId="0" xfId="4" applyNumberFormat="1" applyFill="1" applyBorder="1" applyAlignment="1">
      <alignment vertical="center"/>
    </xf>
    <xf numFmtId="176" fontId="1" fillId="0" borderId="22" xfId="4" applyNumberFormat="1" applyFill="1" applyBorder="1" applyAlignment="1">
      <alignment vertical="center"/>
    </xf>
    <xf numFmtId="176" fontId="1" fillId="0" borderId="23" xfId="4" applyNumberFormat="1" applyFill="1" applyBorder="1" applyAlignment="1">
      <alignment vertical="center"/>
    </xf>
    <xf numFmtId="176" fontId="1" fillId="0" borderId="24" xfId="4" applyNumberFormat="1" applyFill="1" applyBorder="1" applyAlignment="1">
      <alignment vertical="center"/>
    </xf>
    <xf numFmtId="176" fontId="5" fillId="0" borderId="0" xfId="4" applyNumberFormat="1" applyFont="1" applyFill="1" applyBorder="1" applyAlignment="1">
      <alignment vertical="center"/>
    </xf>
    <xf numFmtId="176" fontId="1" fillId="0" borderId="25" xfId="4" applyNumberFormat="1" applyFill="1" applyBorder="1" applyAlignment="1">
      <alignment vertical="center"/>
    </xf>
    <xf numFmtId="176" fontId="1" fillId="0" borderId="0" xfId="4" applyNumberFormat="1" applyFont="1" applyFill="1" applyBorder="1" applyAlignment="1">
      <alignment vertical="center" shrinkToFit="1"/>
    </xf>
    <xf numFmtId="176" fontId="1" fillId="7" borderId="0" xfId="4" applyNumberFormat="1" applyFont="1" applyFill="1" applyBorder="1" applyAlignment="1">
      <alignment vertical="center" shrinkToFit="1"/>
    </xf>
    <xf numFmtId="176" fontId="8" fillId="0" borderId="0" xfId="4" applyNumberFormat="1" applyFont="1" applyFill="1" applyBorder="1" applyAlignment="1">
      <alignment vertical="center"/>
    </xf>
    <xf numFmtId="176" fontId="8" fillId="0" borderId="0" xfId="4" applyNumberFormat="1" applyFont="1" applyFill="1" applyBorder="1" applyAlignment="1">
      <alignment vertical="center" shrinkToFit="1"/>
    </xf>
    <xf numFmtId="0" fontId="8" fillId="0" borderId="0" xfId="0" applyFont="1" applyAlignment="1">
      <alignment vertical="center"/>
    </xf>
    <xf numFmtId="176" fontId="12" fillId="5" borderId="18" xfId="4" applyNumberFormat="1" applyFont="1" applyFill="1" applyBorder="1" applyAlignment="1" applyProtection="1">
      <alignment vertical="center"/>
      <protection locked="0"/>
    </xf>
    <xf numFmtId="58" fontId="4" fillId="0" borderId="0" xfId="4" applyNumberFormat="1" applyFont="1" applyFill="1" applyBorder="1" applyAlignment="1">
      <alignment vertical="center"/>
    </xf>
    <xf numFmtId="176" fontId="6" fillId="0" borderId="22" xfId="4" applyNumberFormat="1" applyFont="1" applyFill="1" applyBorder="1" applyAlignment="1">
      <alignment vertical="center"/>
    </xf>
    <xf numFmtId="176" fontId="2" fillId="0" borderId="0" xfId="4" applyNumberFormat="1" applyFont="1" applyFill="1" applyBorder="1" applyAlignment="1">
      <alignment vertical="center"/>
    </xf>
    <xf numFmtId="176" fontId="0" fillId="0" borderId="22" xfId="4" applyNumberFormat="1" applyFont="1" applyFill="1" applyBorder="1" applyAlignment="1">
      <alignment vertical="center"/>
    </xf>
    <xf numFmtId="176" fontId="1" fillId="0" borderId="0" xfId="4" applyNumberFormat="1" applyFill="1" applyBorder="1" applyAlignment="1">
      <alignment horizontal="right" vertical="center"/>
    </xf>
    <xf numFmtId="177" fontId="6" fillId="0" borderId="0" xfId="1" applyNumberFormat="1" applyFont="1" applyFill="1" applyBorder="1" applyAlignment="1">
      <alignment vertical="center"/>
    </xf>
    <xf numFmtId="176" fontId="1" fillId="0" borderId="10" xfId="4" applyNumberFormat="1" applyFont="1" applyFill="1" applyBorder="1" applyAlignment="1">
      <alignment vertical="center" shrinkToFit="1"/>
    </xf>
    <xf numFmtId="176" fontId="1" fillId="0" borderId="27" xfId="4" applyNumberFormat="1" applyFont="1" applyFill="1" applyBorder="1" applyAlignment="1">
      <alignment vertical="center" shrinkToFit="1"/>
    </xf>
    <xf numFmtId="176" fontId="0" fillId="0" borderId="27" xfId="4" applyNumberFormat="1" applyFont="1" applyFill="1" applyBorder="1" applyAlignment="1">
      <alignment vertical="center" shrinkToFit="1"/>
    </xf>
    <xf numFmtId="176" fontId="1" fillId="0" borderId="22" xfId="4" applyNumberFormat="1" applyFill="1" applyBorder="1" applyAlignment="1">
      <alignment vertical="center" shrinkToFit="1"/>
    </xf>
    <xf numFmtId="176" fontId="1" fillId="0" borderId="0" xfId="4" applyNumberFormat="1" applyFill="1" applyBorder="1" applyAlignment="1">
      <alignment horizontal="right" vertical="center" shrinkToFit="1"/>
    </xf>
    <xf numFmtId="176" fontId="5" fillId="0" borderId="22" xfId="4" applyNumberFormat="1" applyFont="1" applyFill="1" applyBorder="1" applyAlignment="1">
      <alignment vertical="center"/>
    </xf>
    <xf numFmtId="176" fontId="5" fillId="0" borderId="22" xfId="4" applyNumberFormat="1" applyFont="1" applyFill="1" applyBorder="1" applyAlignment="1">
      <alignment vertical="center" shrinkToFit="1"/>
    </xf>
    <xf numFmtId="176" fontId="1" fillId="0" borderId="28" xfId="4" applyNumberFormat="1" applyFill="1" applyBorder="1" applyAlignment="1">
      <alignment vertical="center"/>
    </xf>
    <xf numFmtId="176" fontId="12" fillId="0" borderId="3" xfId="4" applyNumberFormat="1" applyFont="1" applyFill="1" applyBorder="1" applyAlignment="1">
      <alignment vertical="center"/>
    </xf>
    <xf numFmtId="176" fontId="1" fillId="0" borderId="27" xfId="4" applyNumberFormat="1" applyFill="1" applyBorder="1" applyAlignment="1">
      <alignment vertical="center" shrinkToFit="1"/>
    </xf>
    <xf numFmtId="176" fontId="0" fillId="0" borderId="0" xfId="4" applyNumberFormat="1" applyFont="1" applyFill="1" applyBorder="1" applyAlignment="1">
      <alignment horizontal="center" vertical="center"/>
    </xf>
    <xf numFmtId="0" fontId="0" fillId="0" borderId="0" xfId="0" applyAlignment="1">
      <alignment horizontal="center" vertical="center"/>
    </xf>
    <xf numFmtId="176" fontId="24" fillId="0" borderId="27" xfId="4" applyNumberFormat="1" applyFont="1" applyFill="1" applyBorder="1" applyAlignment="1">
      <alignment vertical="center" shrinkToFit="1"/>
    </xf>
    <xf numFmtId="176" fontId="1" fillId="0" borderId="29" xfId="4" applyNumberFormat="1" applyFont="1" applyFill="1" applyBorder="1" applyAlignment="1">
      <alignment vertical="center" shrinkToFit="1"/>
    </xf>
    <xf numFmtId="176" fontId="1" fillId="0" borderId="17" xfId="4" applyNumberFormat="1" applyFill="1" applyBorder="1" applyAlignment="1">
      <alignment vertical="center"/>
    </xf>
    <xf numFmtId="176" fontId="1" fillId="0" borderId="30" xfId="4" applyNumberFormat="1" applyFill="1" applyBorder="1" applyAlignment="1">
      <alignment vertical="center"/>
    </xf>
    <xf numFmtId="176" fontId="1" fillId="0" borderId="31" xfId="4" applyNumberFormat="1" applyFill="1" applyBorder="1" applyAlignment="1">
      <alignment vertical="center"/>
    </xf>
    <xf numFmtId="176" fontId="1" fillId="0" borderId="32" xfId="4" applyNumberFormat="1" applyFill="1" applyBorder="1" applyAlignment="1">
      <alignment vertical="center"/>
    </xf>
    <xf numFmtId="176" fontId="14" fillId="0" borderId="33" xfId="4" applyNumberFormat="1" applyFont="1" applyFill="1" applyBorder="1" applyAlignment="1">
      <alignment vertical="center"/>
    </xf>
    <xf numFmtId="176" fontId="14" fillId="0" borderId="34" xfId="4" applyNumberFormat="1" applyFont="1" applyFill="1" applyBorder="1" applyAlignment="1">
      <alignment vertical="center"/>
    </xf>
    <xf numFmtId="176" fontId="1" fillId="0" borderId="35" xfId="4" applyNumberFormat="1" applyFont="1" applyFill="1" applyBorder="1" applyAlignment="1">
      <alignment vertical="center"/>
    </xf>
    <xf numFmtId="176" fontId="12" fillId="0" borderId="35" xfId="4" applyNumberFormat="1" applyFont="1" applyFill="1" applyBorder="1" applyAlignment="1">
      <alignment vertical="center"/>
    </xf>
    <xf numFmtId="176" fontId="1" fillId="0" borderId="35" xfId="4" applyNumberFormat="1" applyFill="1" applyBorder="1" applyAlignment="1">
      <alignment vertical="center"/>
    </xf>
    <xf numFmtId="176" fontId="0" fillId="0" borderId="33" xfId="4" applyNumberFormat="1" applyFont="1" applyFill="1" applyBorder="1" applyAlignment="1">
      <alignment vertical="center"/>
    </xf>
    <xf numFmtId="176" fontId="24" fillId="0" borderId="35" xfId="4" applyNumberFormat="1" applyFont="1" applyFill="1" applyBorder="1" applyAlignment="1">
      <alignment vertical="center"/>
    </xf>
    <xf numFmtId="176" fontId="6" fillId="0" borderId="33" xfId="4" applyNumberFormat="1" applyFont="1" applyFill="1" applyBorder="1" applyAlignment="1">
      <alignment vertical="center"/>
    </xf>
    <xf numFmtId="176" fontId="6" fillId="0" borderId="35" xfId="4" applyNumberFormat="1" applyFont="1" applyFill="1" applyBorder="1" applyAlignment="1">
      <alignment vertical="center"/>
    </xf>
    <xf numFmtId="176" fontId="4" fillId="0" borderId="35" xfId="4" applyNumberFormat="1" applyFont="1" applyFill="1" applyBorder="1" applyAlignment="1">
      <alignment vertical="center"/>
    </xf>
    <xf numFmtId="176" fontId="25" fillId="0" borderId="32" xfId="4" applyNumberFormat="1" applyFont="1" applyFill="1" applyBorder="1" applyAlignment="1">
      <alignment vertical="center"/>
    </xf>
    <xf numFmtId="176" fontId="12" fillId="0" borderId="36" xfId="4" applyNumberFormat="1" applyFont="1" applyFill="1" applyBorder="1" applyAlignment="1">
      <alignment vertical="center"/>
    </xf>
    <xf numFmtId="176" fontId="1" fillId="0" borderId="37" xfId="4" applyNumberFormat="1" applyFill="1" applyBorder="1" applyAlignment="1">
      <alignment vertical="center"/>
    </xf>
    <xf numFmtId="176" fontId="1" fillId="0" borderId="38" xfId="4" applyNumberFormat="1" applyFont="1" applyFill="1" applyBorder="1" applyAlignment="1">
      <alignment vertical="center"/>
    </xf>
    <xf numFmtId="176" fontId="1" fillId="0" borderId="29" xfId="4" applyNumberFormat="1" applyFill="1" applyBorder="1" applyAlignment="1">
      <alignment vertical="center" shrinkToFit="1"/>
    </xf>
    <xf numFmtId="176" fontId="1" fillId="0" borderId="34" xfId="4" applyNumberFormat="1" applyFont="1" applyFill="1" applyBorder="1" applyAlignment="1">
      <alignment vertical="center"/>
    </xf>
    <xf numFmtId="176" fontId="1" fillId="0" borderId="39" xfId="4" applyNumberFormat="1" applyFill="1" applyBorder="1" applyAlignment="1">
      <alignment vertical="center"/>
    </xf>
    <xf numFmtId="176" fontId="1" fillId="0" borderId="34" xfId="4" applyNumberFormat="1" applyFill="1" applyBorder="1" applyAlignment="1">
      <alignment vertical="center"/>
    </xf>
    <xf numFmtId="176" fontId="5" fillId="0" borderId="22" xfId="4" applyNumberFormat="1" applyFont="1" applyFill="1" applyBorder="1" applyAlignment="1">
      <alignment horizontal="right" vertical="center"/>
    </xf>
    <xf numFmtId="176" fontId="1" fillId="0" borderId="40" xfId="4" applyNumberFormat="1" applyFont="1" applyFill="1" applyBorder="1" applyAlignment="1">
      <alignment vertical="center" shrinkToFit="1"/>
    </xf>
    <xf numFmtId="176" fontId="14" fillId="0" borderId="41" xfId="4" applyNumberFormat="1" applyFont="1" applyFill="1" applyBorder="1" applyAlignment="1">
      <alignment vertical="center"/>
    </xf>
    <xf numFmtId="176" fontId="12" fillId="0" borderId="18" xfId="4" applyNumberFormat="1" applyFont="1" applyFill="1" applyBorder="1" applyAlignment="1">
      <alignment vertical="center" shrinkToFit="1"/>
    </xf>
    <xf numFmtId="176" fontId="14" fillId="0" borderId="38" xfId="4" applyNumberFormat="1" applyFont="1" applyFill="1" applyBorder="1" applyAlignment="1">
      <alignment vertical="center"/>
    </xf>
    <xf numFmtId="176" fontId="1" fillId="0" borderId="42" xfId="4" applyNumberFormat="1" applyFill="1" applyBorder="1" applyAlignment="1">
      <alignment vertical="center"/>
    </xf>
    <xf numFmtId="176" fontId="1" fillId="0" borderId="43" xfId="4" applyNumberFormat="1" applyFill="1" applyBorder="1" applyAlignment="1">
      <alignment vertical="center"/>
    </xf>
    <xf numFmtId="176" fontId="1" fillId="0" borderId="44" xfId="4" applyNumberFormat="1" applyFill="1" applyBorder="1" applyAlignment="1">
      <alignment vertical="center"/>
    </xf>
    <xf numFmtId="176" fontId="1" fillId="0" borderId="45" xfId="4" applyNumberFormat="1" applyFill="1" applyBorder="1" applyAlignment="1">
      <alignment vertical="center"/>
    </xf>
    <xf numFmtId="176" fontId="1" fillId="0" borderId="47" xfId="4" applyNumberFormat="1" applyFont="1" applyFill="1" applyBorder="1" applyAlignment="1">
      <alignment vertical="center" shrinkToFit="1"/>
    </xf>
    <xf numFmtId="176" fontId="1" fillId="0" borderId="48" xfId="4" applyNumberFormat="1" applyFill="1" applyBorder="1" applyAlignment="1">
      <alignment vertical="center"/>
    </xf>
    <xf numFmtId="176" fontId="1" fillId="0" borderId="49" xfId="4" applyNumberFormat="1" applyFill="1" applyBorder="1" applyAlignment="1">
      <alignment vertical="center"/>
    </xf>
    <xf numFmtId="176" fontId="1" fillId="0" borderId="50" xfId="4" applyNumberFormat="1" applyFill="1" applyBorder="1" applyAlignment="1">
      <alignment vertical="center"/>
    </xf>
    <xf numFmtId="176" fontId="1" fillId="0" borderId="51" xfId="4" applyNumberFormat="1" applyFill="1" applyBorder="1" applyAlignment="1">
      <alignment vertical="center"/>
    </xf>
    <xf numFmtId="176" fontId="1" fillId="0" borderId="33" xfId="4" applyNumberFormat="1" applyFont="1" applyFill="1" applyBorder="1" applyAlignment="1">
      <alignment vertical="center"/>
    </xf>
    <xf numFmtId="176" fontId="17" fillId="0" borderId="0" xfId="4" applyNumberFormat="1" applyFont="1" applyFill="1" applyBorder="1" applyAlignment="1" applyProtection="1">
      <alignment vertical="center"/>
    </xf>
    <xf numFmtId="176" fontId="16" fillId="0" borderId="0" xfId="4" applyNumberFormat="1" applyFont="1" applyFill="1" applyBorder="1" applyAlignment="1" applyProtection="1">
      <alignment vertical="center"/>
    </xf>
    <xf numFmtId="176" fontId="5" fillId="0" borderId="0" xfId="4" applyNumberFormat="1" applyFont="1" applyFill="1" applyBorder="1" applyAlignment="1" applyProtection="1">
      <alignment vertical="center" shrinkToFit="1"/>
    </xf>
    <xf numFmtId="176" fontId="1" fillId="0" borderId="0" xfId="4" applyNumberFormat="1" applyFill="1" applyBorder="1" applyAlignment="1" applyProtection="1">
      <alignment vertical="center"/>
    </xf>
    <xf numFmtId="58" fontId="1" fillId="0" borderId="0" xfId="4" applyNumberFormat="1" applyFill="1" applyBorder="1" applyAlignment="1" applyProtection="1">
      <alignment vertical="center"/>
    </xf>
    <xf numFmtId="176" fontId="0"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vertical="center"/>
    </xf>
    <xf numFmtId="177" fontId="5" fillId="0" borderId="0" xfId="4" applyNumberFormat="1" applyFont="1" applyFill="1" applyBorder="1" applyAlignment="1" applyProtection="1">
      <alignment vertical="center" shrinkToFit="1"/>
    </xf>
    <xf numFmtId="177" fontId="5" fillId="0" borderId="0" xfId="1" applyNumberFormat="1" applyFont="1" applyFill="1" applyBorder="1" applyAlignment="1" applyProtection="1">
      <alignment vertical="center" shrinkToFit="1"/>
    </xf>
    <xf numFmtId="176" fontId="0" fillId="0" borderId="0" xfId="4" applyNumberFormat="1" applyFont="1" applyFill="1" applyBorder="1" applyAlignment="1" applyProtection="1">
      <alignment horizontal="right" vertical="center"/>
    </xf>
    <xf numFmtId="177" fontId="5" fillId="8" borderId="52" xfId="4" applyNumberFormat="1" applyFont="1" applyFill="1" applyBorder="1" applyAlignment="1" applyProtection="1">
      <alignment horizontal="center" vertical="center" shrinkToFit="1"/>
    </xf>
    <xf numFmtId="176" fontId="5" fillId="8" borderId="2" xfId="4" applyNumberFormat="1" applyFont="1" applyFill="1" applyBorder="1" applyAlignment="1" applyProtection="1">
      <alignment horizontal="center" vertical="center" shrinkToFit="1"/>
    </xf>
    <xf numFmtId="177" fontId="5" fillId="8" borderId="2" xfId="1" applyNumberFormat="1" applyFont="1" applyFill="1" applyBorder="1" applyAlignment="1" applyProtection="1">
      <alignment horizontal="center" vertical="center" wrapText="1" shrinkToFit="1"/>
    </xf>
    <xf numFmtId="176" fontId="5" fillId="8" borderId="2" xfId="4" applyNumberFormat="1" applyFont="1" applyFill="1" applyBorder="1" applyAlignment="1" applyProtection="1">
      <alignment horizontal="center" vertical="center" wrapText="1" shrinkToFit="1"/>
    </xf>
    <xf numFmtId="176" fontId="1" fillId="0" borderId="0" xfId="4" applyNumberFormat="1" applyFill="1" applyBorder="1" applyAlignment="1" applyProtection="1">
      <alignment horizontal="center" vertical="center"/>
    </xf>
    <xf numFmtId="177" fontId="5" fillId="8" borderId="23" xfId="4" applyNumberFormat="1" applyFont="1" applyFill="1" applyBorder="1" applyAlignment="1" applyProtection="1">
      <alignment horizontal="center" vertical="center" shrinkToFit="1"/>
    </xf>
    <xf numFmtId="176" fontId="5" fillId="8" borderId="4" xfId="4" applyNumberFormat="1" applyFont="1" applyFill="1" applyBorder="1" applyAlignment="1" applyProtection="1">
      <alignment horizontal="center" vertical="center" shrinkToFit="1"/>
    </xf>
    <xf numFmtId="177" fontId="5" fillId="8" borderId="4" xfId="1" applyNumberFormat="1" applyFont="1" applyFill="1" applyBorder="1" applyAlignment="1" applyProtection="1">
      <alignment horizontal="center" vertical="center" shrinkToFit="1"/>
    </xf>
    <xf numFmtId="177" fontId="12" fillId="8" borderId="4" xfId="1" applyNumberFormat="1" applyFont="1" applyFill="1" applyBorder="1" applyAlignment="1" applyProtection="1">
      <alignment horizontal="center" vertical="center" wrapText="1"/>
    </xf>
    <xf numFmtId="176" fontId="12" fillId="0" borderId="11" xfId="4" applyNumberFormat="1" applyFont="1" applyFill="1" applyBorder="1" applyAlignment="1" applyProtection="1">
      <alignment vertical="center"/>
    </xf>
    <xf numFmtId="177" fontId="5" fillId="0" borderId="53" xfId="4" applyNumberFormat="1" applyFont="1" applyFill="1" applyBorder="1" applyAlignment="1" applyProtection="1">
      <alignment vertical="center" shrinkToFit="1"/>
    </xf>
    <xf numFmtId="177" fontId="5" fillId="0" borderId="11" xfId="4" applyNumberFormat="1" applyFont="1" applyFill="1" applyBorder="1" applyAlignment="1" applyProtection="1">
      <alignment vertical="center" shrinkToFit="1"/>
    </xf>
    <xf numFmtId="181" fontId="5" fillId="0" borderId="11" xfId="1" applyNumberFormat="1" applyFont="1" applyFill="1" applyBorder="1" applyAlignment="1" applyProtection="1">
      <alignment horizontal="right" vertical="center" shrinkToFit="1"/>
    </xf>
    <xf numFmtId="176" fontId="12" fillId="0" borderId="11" xfId="2" applyNumberFormat="1" applyFont="1" applyFill="1" applyBorder="1" applyAlignment="1" applyProtection="1">
      <alignment vertical="center"/>
    </xf>
    <xf numFmtId="177" fontId="5" fillId="0" borderId="54" xfId="4" applyNumberFormat="1" applyFont="1" applyFill="1" applyBorder="1" applyAlignment="1" applyProtection="1">
      <alignment vertical="center" shrinkToFit="1"/>
    </xf>
    <xf numFmtId="177" fontId="5" fillId="0" borderId="12" xfId="4" applyNumberFormat="1" applyFont="1" applyFill="1" applyBorder="1" applyAlignment="1" applyProtection="1">
      <alignment vertical="center" shrinkToFit="1"/>
    </xf>
    <xf numFmtId="181" fontId="5" fillId="0" borderId="12" xfId="1" applyNumberFormat="1" applyFont="1" applyFill="1" applyBorder="1" applyAlignment="1" applyProtection="1">
      <alignment horizontal="right" vertical="center" shrinkToFit="1"/>
    </xf>
    <xf numFmtId="176" fontId="12" fillId="0" borderId="12" xfId="2" applyNumberFormat="1" applyFont="1" applyFill="1" applyBorder="1" applyAlignment="1" applyProtection="1">
      <alignment vertical="center"/>
    </xf>
    <xf numFmtId="176" fontId="12" fillId="0" borderId="12" xfId="4" applyNumberFormat="1" applyFont="1" applyFill="1" applyBorder="1" applyAlignment="1" applyProtection="1">
      <alignment vertical="center"/>
    </xf>
    <xf numFmtId="177" fontId="5" fillId="0" borderId="55" xfId="4" applyNumberFormat="1" applyFont="1" applyFill="1" applyBorder="1" applyAlignment="1" applyProtection="1">
      <alignment vertical="center" shrinkToFit="1"/>
    </xf>
    <xf numFmtId="177" fontId="5" fillId="0" borderId="18" xfId="4" applyNumberFormat="1" applyFont="1" applyFill="1" applyBorder="1" applyAlignment="1" applyProtection="1">
      <alignment vertical="center" shrinkToFit="1"/>
    </xf>
    <xf numFmtId="181" fontId="5" fillId="0" borderId="18" xfId="1" applyNumberFormat="1" applyFont="1" applyFill="1" applyBorder="1" applyAlignment="1" applyProtection="1">
      <alignment horizontal="right" vertical="center" shrinkToFit="1"/>
    </xf>
    <xf numFmtId="176" fontId="12" fillId="0" borderId="18" xfId="2" applyNumberFormat="1" applyFont="1" applyFill="1" applyBorder="1" applyAlignment="1" applyProtection="1">
      <alignment vertical="center"/>
    </xf>
    <xf numFmtId="177" fontId="5" fillId="0" borderId="52"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xf>
    <xf numFmtId="177" fontId="5" fillId="0" borderId="2" xfId="4" applyNumberFormat="1" applyFont="1" applyFill="1" applyBorder="1" applyAlignment="1" applyProtection="1">
      <alignment vertical="center" shrinkToFit="1"/>
    </xf>
    <xf numFmtId="181" fontId="5" fillId="0" borderId="2" xfId="1" applyNumberFormat="1" applyFont="1" applyFill="1" applyBorder="1" applyAlignment="1" applyProtection="1">
      <alignment horizontal="right" vertical="center" shrinkToFit="1"/>
    </xf>
    <xf numFmtId="176" fontId="12" fillId="0" borderId="2" xfId="2" applyNumberFormat="1" applyFont="1" applyFill="1" applyBorder="1" applyAlignment="1" applyProtection="1">
      <alignment vertical="center"/>
    </xf>
    <xf numFmtId="176" fontId="5" fillId="0" borderId="12" xfId="4" applyNumberFormat="1" applyFont="1" applyFill="1" applyBorder="1" applyAlignment="1" applyProtection="1">
      <alignment vertical="center"/>
    </xf>
    <xf numFmtId="177" fontId="5" fillId="0" borderId="23" xfId="4" applyNumberFormat="1" applyFont="1" applyFill="1" applyBorder="1" applyAlignment="1" applyProtection="1">
      <alignment vertical="center" shrinkToFit="1"/>
    </xf>
    <xf numFmtId="176" fontId="12" fillId="0" borderId="4" xfId="4" applyNumberFormat="1" applyFont="1" applyFill="1" applyBorder="1" applyAlignment="1" applyProtection="1">
      <alignment vertical="center"/>
    </xf>
    <xf numFmtId="177" fontId="5" fillId="0" borderId="4" xfId="4" applyNumberFormat="1" applyFont="1" applyFill="1" applyBorder="1" applyAlignment="1" applyProtection="1">
      <alignment vertical="center" shrinkToFit="1"/>
    </xf>
    <xf numFmtId="181" fontId="5" fillId="0" borderId="4" xfId="1" applyNumberFormat="1" applyFont="1" applyFill="1" applyBorder="1" applyAlignment="1" applyProtection="1">
      <alignment horizontal="right" vertical="center" shrinkToFit="1"/>
    </xf>
    <xf numFmtId="176" fontId="12" fillId="0" borderId="4" xfId="2" applyNumberFormat="1" applyFont="1" applyFill="1" applyBorder="1" applyAlignment="1" applyProtection="1">
      <alignment vertical="center"/>
    </xf>
    <xf numFmtId="177" fontId="5" fillId="0" borderId="57" xfId="4" applyNumberFormat="1" applyFont="1" applyFill="1" applyBorder="1" applyAlignment="1" applyProtection="1">
      <alignment vertical="center" shrinkToFit="1"/>
    </xf>
    <xf numFmtId="177" fontId="5" fillId="0" borderId="21" xfId="4" applyNumberFormat="1" applyFont="1" applyFill="1" applyBorder="1" applyAlignment="1" applyProtection="1">
      <alignment vertical="center" shrinkToFit="1"/>
    </xf>
    <xf numFmtId="181" fontId="5" fillId="0" borderId="21" xfId="1" applyNumberFormat="1" applyFont="1" applyFill="1" applyBorder="1" applyAlignment="1" applyProtection="1">
      <alignment horizontal="right" vertical="center" shrinkToFit="1"/>
    </xf>
    <xf numFmtId="176" fontId="12" fillId="0" borderId="21" xfId="2" applyNumberFormat="1" applyFont="1" applyFill="1" applyBorder="1" applyAlignment="1" applyProtection="1">
      <alignment vertical="center"/>
    </xf>
    <xf numFmtId="176" fontId="12" fillId="0" borderId="13" xfId="4" applyNumberFormat="1" applyFont="1" applyFill="1" applyBorder="1" applyAlignment="1" applyProtection="1">
      <alignment vertical="center"/>
    </xf>
    <xf numFmtId="177" fontId="5" fillId="0" borderId="58" xfId="4" applyNumberFormat="1" applyFont="1" applyFill="1" applyBorder="1" applyAlignment="1" applyProtection="1">
      <alignment vertical="center" shrinkToFit="1"/>
    </xf>
    <xf numFmtId="177" fontId="5" fillId="0" borderId="13" xfId="4" applyNumberFormat="1" applyFont="1" applyFill="1" applyBorder="1" applyAlignment="1" applyProtection="1">
      <alignment vertical="center" shrinkToFit="1"/>
    </xf>
    <xf numFmtId="181" fontId="5" fillId="0" borderId="13" xfId="1" applyNumberFormat="1" applyFont="1" applyFill="1" applyBorder="1" applyAlignment="1" applyProtection="1">
      <alignment horizontal="right" vertical="center" shrinkToFit="1"/>
    </xf>
    <xf numFmtId="176" fontId="12" fillId="0" borderId="13" xfId="2" applyNumberFormat="1" applyFont="1" applyFill="1" applyBorder="1" applyAlignment="1" applyProtection="1">
      <alignment vertical="center"/>
    </xf>
    <xf numFmtId="176" fontId="1" fillId="0" borderId="59" xfId="4" applyNumberFormat="1" applyFill="1" applyBorder="1" applyAlignment="1" applyProtection="1">
      <alignment vertical="center"/>
    </xf>
    <xf numFmtId="177" fontId="5" fillId="0" borderId="43" xfId="4" applyNumberFormat="1" applyFont="1" applyFill="1" applyBorder="1" applyAlignment="1" applyProtection="1">
      <alignment vertical="center" shrinkToFit="1"/>
    </xf>
    <xf numFmtId="176" fontId="1" fillId="0" borderId="14" xfId="4" applyNumberFormat="1" applyFill="1" applyBorder="1" applyAlignment="1" applyProtection="1">
      <alignment vertical="center"/>
    </xf>
    <xf numFmtId="177" fontId="5" fillId="0" borderId="14" xfId="4" applyNumberFormat="1" applyFont="1" applyFill="1" applyBorder="1" applyAlignment="1" applyProtection="1">
      <alignment vertical="center" shrinkToFit="1"/>
    </xf>
    <xf numFmtId="181" fontId="5" fillId="0" borderId="14" xfId="1" applyNumberFormat="1" applyFont="1" applyFill="1" applyBorder="1" applyAlignment="1" applyProtection="1">
      <alignment horizontal="right" vertical="center" shrinkToFit="1"/>
    </xf>
    <xf numFmtId="176" fontId="1" fillId="0" borderId="14" xfId="2" applyNumberFormat="1" applyFill="1" applyBorder="1" applyAlignment="1" applyProtection="1">
      <alignment vertical="center"/>
    </xf>
    <xf numFmtId="177" fontId="5" fillId="0" borderId="15" xfId="1" applyNumberFormat="1" applyFont="1" applyFill="1" applyBorder="1" applyAlignment="1" applyProtection="1">
      <alignment vertical="center" shrinkToFit="1"/>
    </xf>
    <xf numFmtId="181" fontId="5" fillId="0" borderId="15" xfId="1" applyNumberFormat="1" applyFont="1" applyFill="1" applyBorder="1" applyAlignment="1" applyProtection="1">
      <alignment horizontal="right" vertical="center" shrinkToFit="1"/>
    </xf>
    <xf numFmtId="181" fontId="5" fillId="0" borderId="15" xfId="4" applyNumberFormat="1" applyFont="1" applyFill="1" applyBorder="1" applyAlignment="1" applyProtection="1">
      <alignment horizontal="right" vertical="center" shrinkToFit="1"/>
    </xf>
    <xf numFmtId="176" fontId="1" fillId="0" borderId="15" xfId="2" applyNumberFormat="1" applyFill="1" applyBorder="1" applyAlignment="1" applyProtection="1">
      <alignment vertical="center"/>
    </xf>
    <xf numFmtId="181" fontId="5" fillId="0" borderId="12" xfId="4" applyNumberFormat="1" applyFont="1" applyFill="1" applyBorder="1" applyAlignment="1" applyProtection="1">
      <alignment horizontal="right" vertical="center" shrinkToFit="1"/>
    </xf>
    <xf numFmtId="176" fontId="1" fillId="0" borderId="12" xfId="2" applyNumberFormat="1" applyFill="1" applyBorder="1" applyAlignment="1" applyProtection="1">
      <alignment vertical="center"/>
    </xf>
    <xf numFmtId="177" fontId="5" fillId="0" borderId="26" xfId="4" applyNumberFormat="1" applyFont="1" applyFill="1" applyBorder="1" applyAlignment="1" applyProtection="1">
      <alignment vertical="center" shrinkToFit="1"/>
    </xf>
    <xf numFmtId="181" fontId="5" fillId="0" borderId="26" xfId="1" applyNumberFormat="1" applyFont="1" applyFill="1" applyBorder="1" applyAlignment="1" applyProtection="1">
      <alignment horizontal="right" vertical="center" shrinkToFit="1"/>
    </xf>
    <xf numFmtId="181" fontId="5" fillId="0" borderId="26" xfId="4" applyNumberFormat="1" applyFont="1" applyFill="1" applyBorder="1" applyAlignment="1" applyProtection="1">
      <alignment horizontal="right" vertical="center" shrinkToFit="1"/>
    </xf>
    <xf numFmtId="176" fontId="1" fillId="0" borderId="26" xfId="2" applyNumberFormat="1" applyFill="1" applyBorder="1" applyAlignment="1" applyProtection="1">
      <alignment vertical="center"/>
    </xf>
    <xf numFmtId="176" fontId="1" fillId="0" borderId="21" xfId="4" applyNumberFormat="1" applyFill="1" applyBorder="1" applyAlignment="1" applyProtection="1">
      <alignment vertical="center"/>
    </xf>
    <xf numFmtId="181" fontId="5" fillId="0" borderId="21" xfId="4" applyNumberFormat="1" applyFont="1" applyFill="1" applyBorder="1" applyAlignment="1" applyProtection="1">
      <alignment horizontal="right" vertical="center" shrinkToFit="1"/>
    </xf>
    <xf numFmtId="176" fontId="1" fillId="0" borderId="21" xfId="2" applyNumberFormat="1" applyFill="1" applyBorder="1" applyAlignment="1" applyProtection="1">
      <alignment vertical="center"/>
    </xf>
    <xf numFmtId="176" fontId="1" fillId="0" borderId="13" xfId="2" applyNumberFormat="1" applyFill="1" applyBorder="1" applyAlignment="1" applyProtection="1">
      <alignment vertical="center"/>
    </xf>
    <xf numFmtId="181" fontId="5" fillId="0" borderId="14" xfId="4" applyNumberFormat="1" applyFont="1" applyFill="1" applyBorder="1" applyAlignment="1" applyProtection="1">
      <alignment horizontal="right" vertical="center" shrinkToFit="1"/>
    </xf>
    <xf numFmtId="177" fontId="5" fillId="0" borderId="15" xfId="4" applyNumberFormat="1" applyFont="1" applyFill="1" applyBorder="1" applyAlignment="1" applyProtection="1">
      <alignment vertical="center" shrinkToFit="1"/>
    </xf>
    <xf numFmtId="176" fontId="12" fillId="0" borderId="15" xfId="2" applyNumberFormat="1" applyFont="1" applyFill="1" applyBorder="1" applyAlignment="1" applyProtection="1">
      <alignment vertical="center"/>
    </xf>
    <xf numFmtId="0" fontId="12" fillId="0" borderId="0" xfId="0" applyFont="1" applyAlignment="1">
      <alignment vertical="center"/>
    </xf>
    <xf numFmtId="176" fontId="12" fillId="0" borderId="0" xfId="4" applyNumberFormat="1" applyFont="1" applyFill="1" applyBorder="1" applyAlignment="1" applyProtection="1">
      <alignment vertical="center"/>
    </xf>
    <xf numFmtId="176" fontId="5" fillId="0" borderId="18" xfId="4" applyNumberFormat="1" applyFont="1" applyFill="1" applyBorder="1" applyAlignment="1" applyProtection="1">
      <alignment vertical="center"/>
    </xf>
    <xf numFmtId="181" fontId="5" fillId="0" borderId="18" xfId="4" applyNumberFormat="1" applyFont="1" applyFill="1" applyBorder="1" applyAlignment="1" applyProtection="1">
      <alignment horizontal="right" vertical="center" shrinkToFit="1"/>
    </xf>
    <xf numFmtId="181" fontId="5" fillId="0" borderId="2" xfId="4" applyNumberFormat="1" applyFont="1" applyFill="1" applyBorder="1" applyAlignment="1" applyProtection="1">
      <alignment horizontal="right" vertical="center" shrinkToFit="1"/>
    </xf>
    <xf numFmtId="181" fontId="5" fillId="0" borderId="4" xfId="4" applyNumberFormat="1" applyFont="1" applyFill="1" applyBorder="1" applyAlignment="1" applyProtection="1">
      <alignment horizontal="right" vertical="center" shrinkToFit="1"/>
    </xf>
    <xf numFmtId="176" fontId="12" fillId="0" borderId="14" xfId="2" applyNumberFormat="1" applyFont="1" applyFill="1" applyBorder="1" applyAlignment="1" applyProtection="1">
      <alignment vertical="center"/>
    </xf>
    <xf numFmtId="176" fontId="0" fillId="0" borderId="60" xfId="4" applyNumberFormat="1" applyFont="1" applyFill="1" applyBorder="1" applyAlignment="1" applyProtection="1">
      <alignment vertical="center"/>
    </xf>
    <xf numFmtId="176" fontId="1" fillId="0" borderId="60" xfId="4" applyNumberFormat="1" applyFill="1" applyBorder="1" applyAlignment="1" applyProtection="1">
      <alignment vertical="center"/>
    </xf>
    <xf numFmtId="177" fontId="5" fillId="0" borderId="60" xfId="4" applyNumberFormat="1" applyFont="1" applyFill="1" applyBorder="1" applyAlignment="1" applyProtection="1">
      <alignment vertical="center" shrinkToFit="1"/>
    </xf>
    <xf numFmtId="177" fontId="5" fillId="0" borderId="60" xfId="1" applyNumberFormat="1" applyFont="1" applyFill="1" applyBorder="1" applyAlignment="1" applyProtection="1">
      <alignment vertical="center" shrinkToFit="1"/>
    </xf>
    <xf numFmtId="176" fontId="5" fillId="0" borderId="60" xfId="4" applyNumberFormat="1" applyFont="1" applyFill="1" applyBorder="1" applyAlignment="1" applyProtection="1">
      <alignment vertical="center" shrinkToFit="1"/>
    </xf>
    <xf numFmtId="176" fontId="1" fillId="0" borderId="60" xfId="2" applyNumberFormat="1" applyFill="1" applyBorder="1" applyAlignment="1" applyProtection="1">
      <alignment vertical="center"/>
    </xf>
    <xf numFmtId="176" fontId="1" fillId="0" borderId="0" xfId="2" applyNumberFormat="1" applyFill="1" applyBorder="1" applyAlignment="1" applyProtection="1">
      <alignment vertical="center"/>
    </xf>
    <xf numFmtId="177" fontId="5" fillId="0" borderId="11" xfId="1" applyNumberFormat="1" applyFont="1" applyFill="1" applyBorder="1" applyAlignment="1" applyProtection="1">
      <alignment horizontal="right" vertical="center" shrinkToFit="1"/>
    </xf>
    <xf numFmtId="177" fontId="5" fillId="0" borderId="11" xfId="4" applyNumberFormat="1" applyFont="1" applyFill="1" applyBorder="1" applyAlignment="1" applyProtection="1">
      <alignment horizontal="right" vertical="center" shrinkToFit="1"/>
    </xf>
    <xf numFmtId="177" fontId="5" fillId="0" borderId="18" xfId="1" applyNumberFormat="1" applyFont="1" applyFill="1" applyBorder="1" applyAlignment="1" applyProtection="1">
      <alignment horizontal="right" vertical="center" shrinkToFit="1"/>
    </xf>
    <xf numFmtId="177" fontId="5" fillId="0" borderId="18" xfId="4" applyNumberFormat="1" applyFont="1" applyFill="1" applyBorder="1" applyAlignment="1" applyProtection="1">
      <alignment horizontal="right" vertical="center" shrinkToFit="1"/>
    </xf>
    <xf numFmtId="176" fontId="1" fillId="0" borderId="11" xfId="4" applyNumberFormat="1" applyFill="1" applyBorder="1" applyAlignment="1" applyProtection="1">
      <alignment vertical="center"/>
    </xf>
    <xf numFmtId="177" fontId="5" fillId="0" borderId="11" xfId="1" applyNumberFormat="1" applyFont="1" applyFill="1" applyBorder="1" applyAlignment="1" applyProtection="1">
      <alignment vertical="center" shrinkToFit="1"/>
    </xf>
    <xf numFmtId="176" fontId="1" fillId="0" borderId="11" xfId="2" applyNumberFormat="1" applyFill="1" applyBorder="1" applyAlignment="1" applyProtection="1">
      <alignment vertical="center"/>
    </xf>
    <xf numFmtId="176" fontId="1" fillId="0" borderId="18" xfId="4" applyNumberFormat="1" applyFill="1" applyBorder="1" applyAlignment="1" applyProtection="1">
      <alignment vertical="center"/>
    </xf>
    <xf numFmtId="177" fontId="5" fillId="0" borderId="18" xfId="1" applyNumberFormat="1" applyFont="1" applyFill="1" applyBorder="1" applyAlignment="1" applyProtection="1">
      <alignment vertical="center" shrinkToFit="1"/>
    </xf>
    <xf numFmtId="176" fontId="1" fillId="0" borderId="18" xfId="2" applyNumberFormat="1" applyFill="1" applyBorder="1" applyAlignment="1" applyProtection="1">
      <alignment vertical="center"/>
    </xf>
    <xf numFmtId="180" fontId="1" fillId="0" borderId="0" xfId="4" applyNumberFormat="1" applyFill="1" applyBorder="1" applyAlignment="1" applyProtection="1">
      <alignment vertical="center"/>
    </xf>
    <xf numFmtId="176" fontId="14"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horizontal="right" vertical="center"/>
    </xf>
    <xf numFmtId="176" fontId="3" fillId="0" borderId="4" xfId="4" applyNumberFormat="1" applyFont="1" applyFill="1" applyBorder="1" applyAlignment="1" applyProtection="1">
      <alignment horizontal="center" vertical="center" wrapText="1"/>
    </xf>
    <xf numFmtId="177" fontId="5" fillId="8" borderId="2" xfId="4" applyNumberFormat="1" applyFont="1" applyFill="1" applyBorder="1" applyAlignment="1" applyProtection="1">
      <alignment horizontal="center" vertical="center" shrinkToFit="1"/>
    </xf>
    <xf numFmtId="176" fontId="3" fillId="0" borderId="10" xfId="4" applyNumberFormat="1" applyFont="1" applyFill="1" applyBorder="1" applyAlignment="1" applyProtection="1">
      <alignment horizontal="center" vertical="center" wrapText="1"/>
    </xf>
    <xf numFmtId="176" fontId="1" fillId="0" borderId="2" xfId="4" applyNumberFormat="1" applyFill="1" applyBorder="1" applyAlignment="1" applyProtection="1">
      <alignment horizontal="center" vertical="center"/>
    </xf>
    <xf numFmtId="176" fontId="1" fillId="0" borderId="8" xfId="4" applyNumberFormat="1" applyFill="1" applyBorder="1" applyAlignment="1" applyProtection="1">
      <alignment horizontal="center" vertical="center"/>
    </xf>
    <xf numFmtId="177" fontId="5" fillId="8" borderId="2" xfId="1" applyNumberFormat="1" applyFont="1" applyFill="1" applyBorder="1" applyAlignment="1" applyProtection="1">
      <alignment horizontal="center" vertical="center" shrinkToFit="1"/>
    </xf>
    <xf numFmtId="177" fontId="12" fillId="8" borderId="2" xfId="1" applyNumberFormat="1" applyFont="1" applyFill="1" applyBorder="1" applyAlignment="1" applyProtection="1">
      <alignment horizontal="center" vertical="center" wrapText="1"/>
    </xf>
    <xf numFmtId="176" fontId="1" fillId="0" borderId="54" xfId="4" applyNumberFormat="1" applyFont="1" applyFill="1" applyBorder="1" applyAlignment="1" applyProtection="1">
      <alignment vertical="center"/>
    </xf>
    <xf numFmtId="177" fontId="5" fillId="0" borderId="12" xfId="1" applyNumberFormat="1" applyFont="1" applyFill="1" applyBorder="1" applyAlignment="1" applyProtection="1">
      <alignment vertical="center" shrinkToFit="1"/>
    </xf>
    <xf numFmtId="176" fontId="1" fillId="0" borderId="61" xfId="4" applyNumberFormat="1" applyFont="1" applyFill="1" applyBorder="1" applyAlignment="1" applyProtection="1">
      <alignment vertical="center"/>
    </xf>
    <xf numFmtId="177" fontId="5" fillId="0" borderId="26" xfId="1" applyNumberFormat="1" applyFont="1" applyFill="1" applyBorder="1" applyAlignment="1" applyProtection="1">
      <alignment vertical="center" shrinkToFit="1"/>
    </xf>
    <xf numFmtId="177" fontId="5" fillId="0" borderId="21" xfId="1" applyNumberFormat="1" applyFont="1" applyFill="1" applyBorder="1" applyAlignment="1" applyProtection="1">
      <alignment vertical="center" shrinkToFit="1"/>
    </xf>
    <xf numFmtId="177" fontId="5" fillId="0" borderId="16" xfId="4" applyNumberFormat="1" applyFont="1" applyFill="1" applyBorder="1" applyAlignment="1" applyProtection="1">
      <alignment vertical="center" shrinkToFit="1"/>
    </xf>
    <xf numFmtId="177" fontId="5" fillId="0" borderId="16" xfId="1" applyNumberFormat="1" applyFont="1" applyFill="1" applyBorder="1" applyAlignment="1" applyProtection="1">
      <alignment vertical="center" shrinkToFit="1"/>
    </xf>
    <xf numFmtId="176" fontId="12" fillId="0" borderId="16" xfId="2" applyNumberFormat="1" applyFont="1" applyFill="1" applyBorder="1" applyAlignment="1" applyProtection="1">
      <alignment vertical="center"/>
    </xf>
    <xf numFmtId="176" fontId="1" fillId="0" borderId="16" xfId="2" applyNumberFormat="1" applyFill="1" applyBorder="1" applyAlignment="1" applyProtection="1">
      <alignment vertical="center"/>
    </xf>
    <xf numFmtId="176" fontId="12" fillId="0" borderId="26" xfId="2" applyNumberFormat="1" applyFont="1" applyFill="1" applyBorder="1" applyAlignment="1" applyProtection="1">
      <alignment vertical="center"/>
    </xf>
    <xf numFmtId="176" fontId="26" fillId="0" borderId="62" xfId="4" applyNumberFormat="1" applyFont="1" applyFill="1" applyBorder="1" applyAlignment="1" applyProtection="1">
      <alignment horizontal="center" vertical="center"/>
    </xf>
    <xf numFmtId="176" fontId="26" fillId="0" borderId="64" xfId="4" applyNumberFormat="1" applyFont="1" applyFill="1" applyBorder="1" applyAlignment="1" applyProtection="1">
      <alignment horizontal="center" vertical="center"/>
    </xf>
    <xf numFmtId="177" fontId="5" fillId="0" borderId="17" xfId="4" applyNumberFormat="1" applyFont="1" applyFill="1" applyBorder="1" applyAlignment="1" applyProtection="1">
      <alignment vertical="center" shrinkToFit="1"/>
    </xf>
    <xf numFmtId="177" fontId="5" fillId="0" borderId="17" xfId="1" applyNumberFormat="1" applyFont="1" applyFill="1" applyBorder="1" applyAlignment="1" applyProtection="1">
      <alignment vertical="center" shrinkToFit="1"/>
    </xf>
    <xf numFmtId="176" fontId="1" fillId="0" borderId="17" xfId="2" applyNumberFormat="1" applyFill="1" applyBorder="1" applyAlignment="1" applyProtection="1">
      <alignment vertical="center"/>
    </xf>
    <xf numFmtId="177" fontId="5" fillId="0" borderId="2" xfId="1" applyNumberFormat="1" applyFont="1" applyFill="1" applyBorder="1" applyAlignment="1" applyProtection="1">
      <alignment vertical="center" shrinkToFit="1"/>
    </xf>
    <xf numFmtId="176" fontId="1" fillId="0" borderId="2" xfId="2" applyNumberFormat="1" applyFill="1" applyBorder="1" applyAlignment="1" applyProtection="1">
      <alignment vertical="center"/>
    </xf>
    <xf numFmtId="176" fontId="12" fillId="0" borderId="54" xfId="4" applyNumberFormat="1" applyFont="1" applyFill="1" applyBorder="1" applyAlignment="1" applyProtection="1">
      <alignment vertical="center"/>
    </xf>
    <xf numFmtId="177" fontId="5" fillId="0" borderId="65" xfId="4" applyNumberFormat="1" applyFont="1" applyFill="1" applyBorder="1" applyAlignment="1" applyProtection="1">
      <alignment vertical="center" shrinkToFit="1"/>
    </xf>
    <xf numFmtId="177" fontId="5" fillId="0" borderId="65" xfId="1" applyNumberFormat="1" applyFont="1" applyFill="1" applyBorder="1" applyAlignment="1" applyProtection="1">
      <alignment vertical="center" shrinkToFit="1"/>
    </xf>
    <xf numFmtId="176" fontId="1" fillId="0" borderId="65" xfId="2" applyNumberFormat="1" applyFill="1" applyBorder="1" applyAlignment="1" applyProtection="1">
      <alignment vertical="center"/>
    </xf>
    <xf numFmtId="177" fontId="5" fillId="8" borderId="4" xfId="4" applyNumberFormat="1" applyFont="1" applyFill="1" applyBorder="1" applyAlignment="1" applyProtection="1">
      <alignment horizontal="center" vertical="center" shrinkToFit="1"/>
    </xf>
    <xf numFmtId="176" fontId="1" fillId="0" borderId="57" xfId="2" applyNumberFormat="1" applyFill="1" applyBorder="1" applyAlignment="1" applyProtection="1">
      <alignment vertical="center"/>
    </xf>
    <xf numFmtId="177" fontId="5" fillId="0" borderId="13" xfId="1" applyNumberFormat="1" applyFont="1" applyFill="1" applyBorder="1" applyAlignment="1" applyProtection="1">
      <alignment vertical="center" shrinkToFit="1"/>
    </xf>
    <xf numFmtId="176" fontId="1" fillId="0" borderId="58" xfId="2" applyNumberFormat="1" applyFill="1" applyBorder="1" applyAlignment="1" applyProtection="1">
      <alignment vertical="center"/>
    </xf>
    <xf numFmtId="176" fontId="5" fillId="0" borderId="12" xfId="4" applyNumberFormat="1" applyFont="1" applyFill="1" applyBorder="1" applyAlignment="1" applyProtection="1">
      <alignment vertical="center" shrinkToFit="1"/>
    </xf>
    <xf numFmtId="176" fontId="1" fillId="0" borderId="54" xfId="2" applyNumberFormat="1" applyFill="1" applyBorder="1" applyAlignment="1" applyProtection="1">
      <alignment vertical="center"/>
    </xf>
    <xf numFmtId="176" fontId="1" fillId="0" borderId="12" xfId="4" applyNumberFormat="1" applyFill="1" applyBorder="1" applyAlignment="1" applyProtection="1">
      <alignment vertical="center"/>
    </xf>
    <xf numFmtId="176" fontId="5" fillId="0" borderId="18" xfId="4" applyNumberFormat="1" applyFont="1" applyFill="1" applyBorder="1" applyAlignment="1" applyProtection="1">
      <alignment vertical="center" shrinkToFit="1"/>
    </xf>
    <xf numFmtId="176" fontId="1" fillId="0" borderId="55" xfId="2" applyNumberFormat="1" applyFill="1" applyBorder="1" applyAlignment="1" applyProtection="1">
      <alignment vertical="center"/>
    </xf>
    <xf numFmtId="176" fontId="1" fillId="0" borderId="66" xfId="4" applyNumberFormat="1" applyFont="1" applyFill="1" applyBorder="1" applyAlignment="1" applyProtection="1">
      <alignment vertical="center"/>
    </xf>
    <xf numFmtId="176" fontId="0" fillId="0" borderId="66" xfId="4" applyNumberFormat="1" applyFont="1" applyFill="1" applyBorder="1" applyAlignment="1" applyProtection="1">
      <alignment horizontal="right" vertical="center"/>
    </xf>
    <xf numFmtId="176" fontId="1" fillId="0" borderId="3" xfId="4" applyNumberFormat="1" applyFill="1" applyBorder="1" applyAlignment="1" applyProtection="1">
      <alignment vertical="center"/>
    </xf>
    <xf numFmtId="177" fontId="5" fillId="0" borderId="3" xfId="4" applyNumberFormat="1" applyFont="1" applyFill="1" applyBorder="1" applyAlignment="1" applyProtection="1">
      <alignment vertical="center" shrinkToFit="1"/>
    </xf>
    <xf numFmtId="177" fontId="5" fillId="0" borderId="3" xfId="1" applyNumberFormat="1" applyFont="1" applyFill="1" applyBorder="1" applyAlignment="1" applyProtection="1">
      <alignment vertical="center" shrinkToFit="1"/>
    </xf>
    <xf numFmtId="176" fontId="1" fillId="0" borderId="3" xfId="2" applyNumberFormat="1" applyFill="1" applyBorder="1" applyAlignment="1" applyProtection="1">
      <alignment vertical="center"/>
    </xf>
    <xf numFmtId="176" fontId="1" fillId="0" borderId="24" xfId="2" applyNumberFormat="1" applyFill="1" applyBorder="1" applyAlignment="1" applyProtection="1">
      <alignment vertical="center"/>
    </xf>
    <xf numFmtId="176" fontId="1" fillId="0" borderId="68" xfId="2" applyNumberFormat="1" applyFill="1" applyBorder="1" applyAlignment="1" applyProtection="1">
      <alignment vertical="center"/>
    </xf>
    <xf numFmtId="176" fontId="1" fillId="0" borderId="69" xfId="4" applyNumberFormat="1" applyFont="1" applyFill="1" applyBorder="1" applyAlignment="1" applyProtection="1">
      <alignment vertical="center"/>
    </xf>
    <xf numFmtId="176" fontId="0" fillId="0" borderId="22" xfId="4" applyNumberFormat="1" applyFont="1" applyFill="1" applyBorder="1" applyAlignment="1" applyProtection="1">
      <alignment horizontal="right" vertical="center"/>
    </xf>
    <xf numFmtId="176" fontId="1" fillId="0" borderId="4" xfId="4" applyNumberFormat="1" applyFill="1" applyBorder="1" applyAlignment="1" applyProtection="1">
      <alignment vertical="center"/>
    </xf>
    <xf numFmtId="177" fontId="5" fillId="0" borderId="4" xfId="1" applyNumberFormat="1" applyFont="1" applyFill="1" applyBorder="1" applyAlignment="1" applyProtection="1">
      <alignment vertical="center" shrinkToFit="1"/>
    </xf>
    <xf numFmtId="176" fontId="1" fillId="0" borderId="4" xfId="2" applyNumberFormat="1" applyFill="1" applyBorder="1" applyAlignment="1" applyProtection="1">
      <alignment vertical="center"/>
    </xf>
    <xf numFmtId="176" fontId="1" fillId="0" borderId="23" xfId="2" applyNumberFormat="1" applyFill="1" applyBorder="1" applyAlignment="1" applyProtection="1">
      <alignment vertical="center"/>
    </xf>
    <xf numFmtId="176" fontId="12" fillId="0" borderId="68" xfId="2" applyNumberFormat="1" applyFont="1" applyFill="1" applyBorder="1" applyAlignment="1" applyProtection="1">
      <alignment vertical="center"/>
    </xf>
    <xf numFmtId="176" fontId="12" fillId="0" borderId="54" xfId="2" applyNumberFormat="1" applyFont="1" applyFill="1" applyBorder="1" applyAlignment="1" applyProtection="1">
      <alignment vertical="center"/>
    </xf>
    <xf numFmtId="176" fontId="12" fillId="0" borderId="55" xfId="2" applyNumberFormat="1" applyFont="1" applyFill="1" applyBorder="1" applyAlignment="1" applyProtection="1">
      <alignment vertical="center"/>
    </xf>
    <xf numFmtId="176" fontId="1" fillId="0" borderId="50" xfId="4" applyNumberFormat="1" applyFont="1" applyFill="1" applyBorder="1" applyAlignment="1" applyProtection="1">
      <alignment vertical="center"/>
    </xf>
    <xf numFmtId="176" fontId="0" fillId="0" borderId="8" xfId="4" applyNumberFormat="1" applyFont="1" applyFill="1" applyBorder="1" applyAlignment="1" applyProtection="1">
      <alignment horizontal="right" vertical="center"/>
    </xf>
    <xf numFmtId="176" fontId="12" fillId="0" borderId="52" xfId="2" applyNumberFormat="1" applyFont="1" applyFill="1" applyBorder="1" applyAlignment="1" applyProtection="1">
      <alignment vertical="center"/>
    </xf>
    <xf numFmtId="176" fontId="12" fillId="0" borderId="53" xfId="4" applyNumberFormat="1" applyFont="1" applyFill="1" applyBorder="1" applyAlignment="1" applyProtection="1">
      <alignment vertical="center"/>
    </xf>
    <xf numFmtId="176" fontId="12" fillId="0" borderId="53" xfId="2" applyNumberFormat="1" applyFont="1" applyFill="1" applyBorder="1" applyAlignment="1" applyProtection="1">
      <alignment vertical="center"/>
    </xf>
    <xf numFmtId="176" fontId="1" fillId="0" borderId="24" xfId="4" applyNumberFormat="1" applyFont="1" applyFill="1" applyBorder="1" applyAlignment="1" applyProtection="1">
      <alignment vertical="center"/>
    </xf>
    <xf numFmtId="176" fontId="0" fillId="0" borderId="10" xfId="4" applyNumberFormat="1" applyFont="1" applyFill="1" applyBorder="1" applyAlignment="1" applyProtection="1">
      <alignment horizontal="right" vertical="center"/>
    </xf>
    <xf numFmtId="176" fontId="12" fillId="0" borderId="23" xfId="2" applyNumberFormat="1" applyFont="1" applyFill="1" applyBorder="1" applyAlignment="1" applyProtection="1">
      <alignment vertical="center"/>
    </xf>
    <xf numFmtId="176" fontId="12" fillId="0" borderId="57" xfId="2" applyNumberFormat="1" applyFont="1" applyFill="1" applyBorder="1" applyAlignment="1" applyProtection="1">
      <alignment vertical="center"/>
    </xf>
    <xf numFmtId="176" fontId="12" fillId="0" borderId="70" xfId="2" applyNumberFormat="1" applyFont="1" applyFill="1" applyBorder="1" applyAlignment="1" applyProtection="1">
      <alignment vertical="center"/>
    </xf>
    <xf numFmtId="176" fontId="12" fillId="0" borderId="3" xfId="2" applyNumberFormat="1" applyFont="1" applyFill="1" applyBorder="1" applyAlignment="1" applyProtection="1">
      <alignment vertical="center"/>
    </xf>
    <xf numFmtId="176" fontId="12" fillId="0" borderId="24" xfId="2" applyNumberFormat="1" applyFont="1" applyFill="1" applyBorder="1" applyAlignment="1" applyProtection="1">
      <alignment vertical="center"/>
    </xf>
    <xf numFmtId="177" fontId="5" fillId="0" borderId="11" xfId="4" applyNumberFormat="1" applyFont="1" applyFill="1" applyBorder="1" applyAlignment="1" applyProtection="1">
      <alignment horizontal="center" vertical="center" shrinkToFit="1"/>
    </xf>
    <xf numFmtId="176" fontId="12" fillId="0" borderId="18" xfId="4" applyNumberFormat="1" applyFont="1" applyFill="1" applyBorder="1" applyAlignment="1" applyProtection="1">
      <alignment vertical="center"/>
    </xf>
    <xf numFmtId="177" fontId="5" fillId="0" borderId="18" xfId="4" applyNumberFormat="1" applyFont="1" applyFill="1" applyBorder="1" applyAlignment="1" applyProtection="1">
      <alignment horizontal="center" vertical="center" shrinkToFit="1"/>
    </xf>
    <xf numFmtId="177" fontId="5" fillId="0" borderId="2" xfId="4" applyNumberFormat="1" applyFont="1" applyFill="1" applyBorder="1" applyAlignment="1" applyProtection="1">
      <alignment horizontal="center" vertical="center" shrinkToFit="1"/>
    </xf>
    <xf numFmtId="176" fontId="5" fillId="0" borderId="11" xfId="4" applyNumberFormat="1" applyFont="1" applyFill="1" applyBorder="1" applyAlignment="1" applyProtection="1">
      <alignment horizontal="center" vertical="center" shrinkToFit="1"/>
    </xf>
    <xf numFmtId="177" fontId="5" fillId="0" borderId="12" xfId="4" applyNumberFormat="1" applyFont="1" applyFill="1" applyBorder="1" applyAlignment="1" applyProtection="1">
      <alignment horizontal="center" vertical="center" shrinkToFit="1"/>
    </xf>
    <xf numFmtId="176" fontId="5" fillId="0" borderId="12" xfId="4" applyNumberFormat="1" applyFont="1" applyFill="1" applyBorder="1" applyAlignment="1" applyProtection="1">
      <alignment horizontal="center" vertical="center" shrinkToFit="1"/>
    </xf>
    <xf numFmtId="176" fontId="1" fillId="0" borderId="26" xfId="4" applyNumberFormat="1" applyFill="1" applyBorder="1" applyAlignment="1" applyProtection="1">
      <alignment vertical="center"/>
    </xf>
    <xf numFmtId="176" fontId="5" fillId="0" borderId="18" xfId="4" applyNumberFormat="1" applyFont="1" applyFill="1" applyBorder="1" applyAlignment="1" applyProtection="1">
      <alignment horizontal="center" vertical="center" shrinkToFit="1"/>
    </xf>
    <xf numFmtId="176" fontId="26" fillId="5" borderId="62" xfId="4" applyNumberFormat="1" applyFont="1" applyFill="1" applyBorder="1" applyAlignment="1" applyProtection="1">
      <alignment horizontal="center" vertical="center"/>
      <protection locked="0"/>
    </xf>
    <xf numFmtId="176" fontId="26" fillId="5" borderId="64" xfId="4" applyNumberFormat="1" applyFont="1" applyFill="1" applyBorder="1" applyAlignment="1" applyProtection="1">
      <alignment horizontal="center" vertical="center"/>
      <protection locked="0"/>
    </xf>
    <xf numFmtId="176" fontId="26" fillId="5" borderId="71" xfId="4" applyNumberFormat="1" applyFont="1" applyFill="1" applyBorder="1" applyAlignment="1" applyProtection="1">
      <alignment horizontal="center" vertical="center"/>
      <protection locked="0"/>
    </xf>
    <xf numFmtId="176" fontId="12" fillId="5" borderId="12" xfId="4" applyNumberFormat="1" applyFont="1" applyFill="1" applyBorder="1" applyAlignment="1" applyProtection="1">
      <alignment vertical="center"/>
      <protection locked="0"/>
    </xf>
    <xf numFmtId="178" fontId="1" fillId="0" borderId="0" xfId="4" applyNumberFormat="1" applyFont="1" applyFill="1" applyBorder="1" applyAlignment="1" applyProtection="1">
      <alignment vertical="center"/>
    </xf>
    <xf numFmtId="176"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xf>
    <xf numFmtId="178" fontId="1" fillId="0" borderId="0" xfId="4" applyNumberFormat="1" applyFill="1" applyBorder="1" applyAlignment="1" applyProtection="1">
      <alignment vertical="center"/>
    </xf>
    <xf numFmtId="176" fontId="1" fillId="8" borderId="2" xfId="4" applyNumberFormat="1" applyFont="1" applyFill="1" applyBorder="1" applyAlignment="1" applyProtection="1">
      <alignment horizontal="center" vertical="center"/>
    </xf>
    <xf numFmtId="178" fontId="1" fillId="8" borderId="2" xfId="4" applyNumberFormat="1" applyFont="1" applyFill="1" applyBorder="1" applyAlignment="1" applyProtection="1">
      <alignment horizontal="center" vertical="center"/>
    </xf>
    <xf numFmtId="177" fontId="4" fillId="8" borderId="2" xfId="4" applyNumberFormat="1" applyFont="1" applyFill="1" applyBorder="1" applyAlignment="1" applyProtection="1">
      <alignment horizontal="center" vertical="center" shrinkToFit="1"/>
    </xf>
    <xf numFmtId="177" fontId="3" fillId="0" borderId="0" xfId="1" applyNumberFormat="1" applyFont="1" applyFill="1" applyBorder="1" applyAlignment="1" applyProtection="1">
      <alignment vertical="center" wrapText="1"/>
    </xf>
    <xf numFmtId="176" fontId="1" fillId="0" borderId="11" xfId="4" applyNumberFormat="1" applyFont="1" applyFill="1" applyBorder="1" applyAlignment="1" applyProtection="1">
      <alignment vertical="center" shrinkToFit="1"/>
    </xf>
    <xf numFmtId="176" fontId="1" fillId="0" borderId="11" xfId="4" applyNumberFormat="1" applyFont="1" applyFill="1" applyBorder="1" applyAlignment="1" applyProtection="1">
      <alignment horizontal="right" vertical="center"/>
    </xf>
    <xf numFmtId="176" fontId="1" fillId="0" borderId="11" xfId="4" applyNumberFormat="1" applyFont="1" applyFill="1" applyBorder="1" applyAlignment="1" applyProtection="1">
      <alignment vertical="center"/>
    </xf>
    <xf numFmtId="181" fontId="1" fillId="0" borderId="11" xfId="4" applyNumberFormat="1" applyFont="1" applyFill="1" applyBorder="1" applyAlignment="1" applyProtection="1">
      <alignment horizontal="center" vertical="center" shrinkToFit="1"/>
    </xf>
    <xf numFmtId="177" fontId="1" fillId="0" borderId="0" xfId="4" applyNumberFormat="1" applyFont="1" applyFill="1" applyBorder="1" applyAlignment="1" applyProtection="1">
      <alignment horizontal="center" vertical="center" wrapText="1"/>
    </xf>
    <xf numFmtId="177" fontId="1" fillId="0" borderId="0" xfId="4" applyNumberFormat="1" applyFont="1" applyFill="1" applyBorder="1" applyAlignment="1" applyProtection="1">
      <alignment horizontal="center" vertical="center"/>
    </xf>
    <xf numFmtId="176" fontId="1" fillId="0" borderId="4" xfId="4" applyNumberFormat="1" applyFont="1" applyFill="1" applyBorder="1" applyAlignment="1" applyProtection="1">
      <alignment horizontal="center" vertical="center"/>
    </xf>
    <xf numFmtId="178" fontId="1" fillId="0" borderId="4" xfId="4" applyNumberFormat="1" applyFont="1" applyFill="1" applyBorder="1" applyAlignment="1" applyProtection="1">
      <alignment horizontal="center" vertical="center"/>
    </xf>
    <xf numFmtId="176" fontId="12" fillId="0" borderId="12" xfId="4" applyNumberFormat="1" applyFont="1" applyFill="1" applyBorder="1" applyAlignment="1" applyProtection="1">
      <alignment vertical="center" shrinkToFit="1"/>
    </xf>
    <xf numFmtId="176" fontId="12" fillId="0" borderId="26" xfId="4" applyNumberFormat="1" applyFont="1" applyFill="1" applyBorder="1" applyAlignment="1" applyProtection="1">
      <alignment vertical="center"/>
    </xf>
    <xf numFmtId="181" fontId="12" fillId="0" borderId="26" xfId="4" applyNumberFormat="1" applyFont="1" applyFill="1" applyBorder="1" applyAlignment="1" applyProtection="1">
      <alignment horizontal="center" vertical="center" shrinkToFit="1"/>
    </xf>
    <xf numFmtId="0" fontId="0" fillId="0" borderId="2" xfId="0" applyBorder="1" applyAlignment="1">
      <alignment vertical="center"/>
    </xf>
    <xf numFmtId="38" fontId="0" fillId="0" borderId="2" xfId="2" applyFont="1" applyBorder="1" applyAlignment="1" applyProtection="1">
      <alignment vertical="center"/>
    </xf>
    <xf numFmtId="181" fontId="12" fillId="0" borderId="12" xfId="4" applyNumberFormat="1" applyFont="1" applyFill="1" applyBorder="1" applyAlignment="1" applyProtection="1">
      <alignment horizontal="center" vertical="center" shrinkToFit="1"/>
    </xf>
    <xf numFmtId="177" fontId="12" fillId="0" borderId="13" xfId="4" applyNumberFormat="1" applyFont="1" applyFill="1" applyBorder="1" applyAlignment="1" applyProtection="1">
      <alignment vertical="center"/>
    </xf>
    <xf numFmtId="181" fontId="12" fillId="0" borderId="13" xfId="4" applyNumberFormat="1" applyFont="1" applyFill="1" applyBorder="1" applyAlignment="1" applyProtection="1">
      <alignment horizontal="center" vertical="center" shrinkToFit="1"/>
    </xf>
    <xf numFmtId="176" fontId="12" fillId="0" borderId="73" xfId="4" applyNumberFormat="1" applyFont="1" applyFill="1" applyBorder="1" applyAlignment="1" applyProtection="1">
      <alignment vertical="center"/>
    </xf>
    <xf numFmtId="181" fontId="12" fillId="0" borderId="73" xfId="4" applyNumberFormat="1" applyFont="1" applyFill="1" applyBorder="1" applyAlignment="1" applyProtection="1">
      <alignment horizontal="center" vertical="center" shrinkToFit="1"/>
    </xf>
    <xf numFmtId="176" fontId="1" fillId="0" borderId="13" xfId="4" applyNumberFormat="1" applyFont="1" applyFill="1" applyBorder="1" applyAlignment="1" applyProtection="1">
      <alignment vertical="center"/>
    </xf>
    <xf numFmtId="181" fontId="1" fillId="0" borderId="13" xfId="4" applyNumberFormat="1" applyFont="1" applyFill="1" applyBorder="1" applyAlignment="1" applyProtection="1">
      <alignment horizontal="center" vertical="center" shrinkToFit="1"/>
    </xf>
    <xf numFmtId="177" fontId="1" fillId="0" borderId="12" xfId="4" applyNumberFormat="1" applyFont="1" applyFill="1" applyBorder="1" applyAlignment="1" applyProtection="1">
      <alignment vertical="center"/>
    </xf>
    <xf numFmtId="181" fontId="1" fillId="0" borderId="12" xfId="4" applyNumberFormat="1" applyFont="1" applyFill="1" applyBorder="1" applyAlignment="1" applyProtection="1">
      <alignment horizontal="center" vertical="center" shrinkToFit="1"/>
    </xf>
    <xf numFmtId="176" fontId="1" fillId="0" borderId="18" xfId="4" applyNumberFormat="1" applyFont="1" applyFill="1" applyBorder="1" applyAlignment="1" applyProtection="1">
      <alignment vertical="center" shrinkToFit="1"/>
    </xf>
    <xf numFmtId="177" fontId="1" fillId="0" borderId="18" xfId="4" applyNumberFormat="1" applyFont="1" applyFill="1" applyBorder="1" applyAlignment="1" applyProtection="1">
      <alignment vertical="center"/>
    </xf>
    <xf numFmtId="181" fontId="1" fillId="0" borderId="18" xfId="4" applyNumberFormat="1" applyFont="1" applyFill="1" applyBorder="1" applyAlignment="1" applyProtection="1">
      <alignment horizontal="center" vertical="center" shrinkToFit="1"/>
    </xf>
    <xf numFmtId="177" fontId="11" fillId="0" borderId="11" xfId="1" applyNumberFormat="1" applyFont="1" applyFill="1" applyBorder="1" applyAlignment="1" applyProtection="1">
      <alignment vertical="center"/>
    </xf>
    <xf numFmtId="177" fontId="11" fillId="0" borderId="18" xfId="1" applyNumberFormat="1" applyFont="1" applyFill="1" applyBorder="1" applyAlignment="1" applyProtection="1">
      <alignment vertical="center"/>
    </xf>
    <xf numFmtId="178" fontId="14" fillId="0" borderId="0" xfId="4" applyNumberFormat="1" applyFont="1" applyFill="1" applyBorder="1" applyAlignment="1" applyProtection="1">
      <alignment vertical="center"/>
    </xf>
    <xf numFmtId="176"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xf>
    <xf numFmtId="0" fontId="14" fillId="0" borderId="0" xfId="0" applyFont="1" applyAlignment="1">
      <alignment vertical="center"/>
    </xf>
    <xf numFmtId="176" fontId="9" fillId="0" borderId="0" xfId="4" applyNumberFormat="1" applyFont="1" applyFill="1" applyBorder="1" applyAlignment="1" applyProtection="1">
      <alignment vertical="center"/>
    </xf>
    <xf numFmtId="176" fontId="10" fillId="0" borderId="0" xfId="4" applyNumberFormat="1" applyFont="1" applyFill="1" applyBorder="1" applyAlignment="1" applyProtection="1">
      <alignment vertical="center"/>
    </xf>
    <xf numFmtId="178" fontId="10" fillId="0" borderId="0" xfId="4" applyNumberFormat="1" applyFont="1" applyFill="1" applyBorder="1" applyAlignment="1" applyProtection="1">
      <alignment vertical="center"/>
    </xf>
    <xf numFmtId="176" fontId="0" fillId="0" borderId="0" xfId="4" applyNumberFormat="1" applyFont="1" applyFill="1" applyBorder="1" applyAlignment="1" applyProtection="1">
      <alignment vertical="center" shrinkToFit="1"/>
    </xf>
    <xf numFmtId="0" fontId="0" fillId="0" borderId="0" xfId="0" applyAlignment="1">
      <alignment shrinkToFit="1"/>
    </xf>
    <xf numFmtId="177" fontId="1" fillId="0" borderId="11" xfId="4" applyNumberFormat="1" applyFill="1" applyBorder="1" applyAlignment="1" applyProtection="1">
      <alignment horizontal="right" vertical="center"/>
    </xf>
    <xf numFmtId="177" fontId="1" fillId="0" borderId="26" xfId="4" applyNumberFormat="1" applyFont="1" applyFill="1" applyBorder="1" applyAlignment="1" applyProtection="1">
      <alignment horizontal="right" vertical="center"/>
    </xf>
    <xf numFmtId="177" fontId="1" fillId="0" borderId="11" xfId="4" applyNumberFormat="1" applyFill="1" applyBorder="1" applyAlignment="1" applyProtection="1">
      <alignment vertical="center"/>
    </xf>
    <xf numFmtId="177" fontId="1" fillId="0" borderId="18" xfId="4" applyNumberFormat="1" applyFill="1" applyBorder="1" applyAlignment="1" applyProtection="1">
      <alignment vertical="center"/>
    </xf>
    <xf numFmtId="177" fontId="1" fillId="0" borderId="74" xfId="4" applyNumberFormat="1" applyFill="1" applyBorder="1" applyAlignment="1" applyProtection="1">
      <alignment vertical="center"/>
    </xf>
    <xf numFmtId="177" fontId="1" fillId="0" borderId="17" xfId="4" applyNumberFormat="1" applyFill="1" applyBorder="1" applyAlignment="1" applyProtection="1">
      <alignment vertical="center"/>
    </xf>
    <xf numFmtId="176" fontId="12" fillId="0" borderId="74" xfId="4" applyNumberFormat="1" applyFont="1" applyFill="1" applyBorder="1" applyAlignment="1" applyProtection="1">
      <alignment vertical="center"/>
    </xf>
    <xf numFmtId="177" fontId="1" fillId="0" borderId="74" xfId="4" applyNumberFormat="1" applyFill="1" applyBorder="1" applyAlignment="1" applyProtection="1">
      <alignment horizontal="right" vertical="center"/>
    </xf>
    <xf numFmtId="177" fontId="1" fillId="0" borderId="13" xfId="4" applyNumberFormat="1" applyFill="1" applyBorder="1" applyAlignment="1" applyProtection="1">
      <alignment horizontal="right" vertical="center"/>
    </xf>
    <xf numFmtId="177" fontId="1" fillId="0" borderId="12" xfId="4" applyNumberFormat="1" applyFill="1" applyBorder="1" applyAlignment="1" applyProtection="1">
      <alignment horizontal="right" vertical="center"/>
    </xf>
    <xf numFmtId="177" fontId="1" fillId="0" borderId="18" xfId="4" applyNumberFormat="1" applyFill="1" applyBorder="1" applyAlignment="1" applyProtection="1">
      <alignment horizontal="right" vertical="center"/>
    </xf>
    <xf numFmtId="0" fontId="19" fillId="0" borderId="0" xfId="0" applyFont="1" applyAlignment="1">
      <alignment vertical="center"/>
    </xf>
    <xf numFmtId="176" fontId="1" fillId="0" borderId="2" xfId="4" applyNumberFormat="1" applyFill="1" applyBorder="1" applyAlignment="1" applyProtection="1">
      <alignment vertical="center"/>
    </xf>
    <xf numFmtId="176" fontId="1" fillId="0" borderId="52" xfId="4" applyNumberFormat="1" applyFill="1" applyBorder="1" applyAlignment="1" applyProtection="1">
      <alignment vertical="center"/>
    </xf>
    <xf numFmtId="177" fontId="1" fillId="0" borderId="2" xfId="4" applyNumberFormat="1" applyFill="1" applyBorder="1" applyAlignment="1" applyProtection="1">
      <alignment vertical="center" shrinkToFit="1"/>
    </xf>
    <xf numFmtId="182" fontId="1" fillId="0" borderId="11" xfId="4" applyNumberFormat="1" applyFill="1" applyBorder="1" applyAlignment="1" applyProtection="1">
      <alignment vertical="center"/>
    </xf>
    <xf numFmtId="177" fontId="1" fillId="0" borderId="11" xfId="4" applyNumberFormat="1" applyFill="1" applyBorder="1" applyAlignment="1" applyProtection="1">
      <alignment vertical="center" shrinkToFit="1"/>
    </xf>
    <xf numFmtId="182" fontId="1" fillId="0" borderId="12" xfId="4" applyNumberFormat="1" applyFill="1" applyBorder="1" applyAlignment="1" applyProtection="1">
      <alignment horizontal="right" vertical="center"/>
    </xf>
    <xf numFmtId="177" fontId="1" fillId="0" borderId="12" xfId="4" applyNumberFormat="1" applyFill="1" applyBorder="1" applyAlignment="1" applyProtection="1">
      <alignment vertical="center" shrinkToFit="1"/>
    </xf>
    <xf numFmtId="182" fontId="1" fillId="0" borderId="73" xfId="4" applyNumberFormat="1" applyFill="1" applyBorder="1" applyAlignment="1" applyProtection="1">
      <alignment vertical="center"/>
    </xf>
    <xf numFmtId="177" fontId="1" fillId="0" borderId="73" xfId="4" applyNumberFormat="1" applyFill="1" applyBorder="1" applyAlignment="1" applyProtection="1">
      <alignment vertical="center" shrinkToFit="1"/>
    </xf>
    <xf numFmtId="183" fontId="1" fillId="0" borderId="15" xfId="4" applyNumberFormat="1" applyFill="1" applyBorder="1" applyAlignment="1" applyProtection="1">
      <alignment vertical="center"/>
    </xf>
    <xf numFmtId="177" fontId="1" fillId="0" borderId="15" xfId="4" applyNumberFormat="1" applyFill="1" applyBorder="1" applyAlignment="1" applyProtection="1">
      <alignment vertical="center" shrinkToFit="1"/>
    </xf>
    <xf numFmtId="176" fontId="0" fillId="0" borderId="18" xfId="4" applyNumberFormat="1" applyFont="1" applyFill="1" applyBorder="1" applyAlignment="1" applyProtection="1">
      <alignment horizontal="center" vertical="center"/>
    </xf>
    <xf numFmtId="178" fontId="1" fillId="0" borderId="18" xfId="4" applyNumberFormat="1" applyFill="1" applyBorder="1" applyAlignment="1" applyProtection="1">
      <alignment vertical="center"/>
    </xf>
    <xf numFmtId="176" fontId="1" fillId="0" borderId="55" xfId="4" applyNumberFormat="1" applyFill="1" applyBorder="1" applyAlignment="1" applyProtection="1">
      <alignment vertical="center"/>
    </xf>
    <xf numFmtId="177" fontId="1" fillId="0" borderId="18" xfId="4" applyNumberFormat="1" applyFill="1" applyBorder="1" applyAlignment="1" applyProtection="1">
      <alignment horizontal="center" vertical="center" shrinkToFit="1"/>
    </xf>
    <xf numFmtId="177" fontId="1" fillId="0" borderId="0" xfId="1" applyNumberFormat="1" applyFill="1" applyBorder="1" applyAlignment="1" applyProtection="1">
      <alignment vertical="center"/>
    </xf>
    <xf numFmtId="176" fontId="19" fillId="0" borderId="0" xfId="4" applyNumberFormat="1" applyFont="1" applyFill="1" applyBorder="1" applyAlignment="1" applyProtection="1">
      <alignment vertical="center"/>
    </xf>
    <xf numFmtId="58" fontId="1" fillId="0" borderId="0" xfId="4" applyNumberFormat="1" applyFill="1" applyBorder="1" applyAlignment="1" applyProtection="1">
      <alignment vertical="center" shrinkToFit="1"/>
    </xf>
    <xf numFmtId="184" fontId="1" fillId="0" borderId="0" xfId="4" applyNumberFormat="1" applyFill="1" applyBorder="1" applyAlignment="1" applyProtection="1">
      <alignment vertical="center"/>
    </xf>
    <xf numFmtId="178" fontId="12" fillId="0" borderId="0"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177" fontId="12" fillId="0" borderId="0" xfId="4" applyNumberFormat="1" applyFont="1" applyFill="1" applyBorder="1" applyAlignment="1" applyProtection="1">
      <alignment vertical="center"/>
    </xf>
    <xf numFmtId="176" fontId="12" fillId="8" borderId="17" xfId="4" applyNumberFormat="1" applyFont="1" applyFill="1" applyBorder="1" applyAlignment="1" applyProtection="1">
      <alignment horizontal="center" vertical="center"/>
    </xf>
    <xf numFmtId="178" fontId="12" fillId="8" borderId="17" xfId="4" applyNumberFormat="1" applyFont="1" applyFill="1" applyBorder="1" applyAlignment="1" applyProtection="1">
      <alignment horizontal="center" vertical="center"/>
    </xf>
    <xf numFmtId="176" fontId="12" fillId="0" borderId="0" xfId="0" applyNumberFormat="1" applyFont="1" applyAlignment="1">
      <alignment vertical="center"/>
    </xf>
    <xf numFmtId="176" fontId="12" fillId="0" borderId="0" xfId="0" applyNumberFormat="1" applyFont="1" applyAlignment="1">
      <alignment horizontal="right" vertical="center"/>
    </xf>
    <xf numFmtId="176" fontId="0" fillId="0" borderId="3" xfId="4" applyNumberFormat="1" applyFont="1" applyFill="1" applyBorder="1" applyAlignment="1" applyProtection="1">
      <alignment horizontal="right" vertical="center"/>
    </xf>
    <xf numFmtId="178" fontId="0" fillId="0" borderId="3" xfId="4" applyNumberFormat="1" applyFont="1" applyFill="1" applyBorder="1" applyAlignment="1" applyProtection="1">
      <alignment horizontal="right" vertical="center"/>
    </xf>
    <xf numFmtId="176" fontId="12" fillId="0" borderId="24" xfId="4" applyNumberFormat="1" applyFont="1" applyFill="1" applyBorder="1" applyAlignment="1" applyProtection="1">
      <alignment horizontal="right" vertical="center"/>
    </xf>
    <xf numFmtId="177" fontId="0" fillId="0" borderId="3" xfId="4" applyNumberFormat="1" applyFont="1" applyFill="1" applyBorder="1" applyAlignment="1" applyProtection="1">
      <alignment horizontal="right" vertical="center"/>
    </xf>
    <xf numFmtId="179" fontId="12" fillId="0" borderId="11" xfId="4" applyNumberFormat="1" applyFont="1" applyFill="1" applyBorder="1" applyAlignment="1" applyProtection="1">
      <alignment vertical="center"/>
    </xf>
    <xf numFmtId="178" fontId="12" fillId="0" borderId="11" xfId="4" applyNumberFormat="1" applyFont="1" applyFill="1" applyBorder="1" applyAlignment="1" applyProtection="1">
      <alignment vertical="center"/>
    </xf>
    <xf numFmtId="179" fontId="12" fillId="0" borderId="12" xfId="4" applyNumberFormat="1" applyFont="1" applyFill="1" applyBorder="1" applyAlignment="1" applyProtection="1">
      <alignment vertical="center"/>
    </xf>
    <xf numFmtId="178" fontId="12" fillId="0" borderId="12" xfId="4" applyNumberFormat="1" applyFont="1" applyFill="1" applyBorder="1" applyAlignment="1" applyProtection="1">
      <alignment vertical="center"/>
    </xf>
    <xf numFmtId="179" fontId="12" fillId="0" borderId="26" xfId="4" applyNumberFormat="1" applyFont="1" applyFill="1" applyBorder="1" applyAlignment="1" applyProtection="1">
      <alignment vertical="center"/>
    </xf>
    <xf numFmtId="178" fontId="12" fillId="0" borderId="26" xfId="4" applyNumberFormat="1" applyFont="1" applyFill="1" applyBorder="1" applyAlignment="1" applyProtection="1">
      <alignment vertical="center"/>
    </xf>
    <xf numFmtId="176" fontId="12" fillId="0" borderId="70" xfId="4" applyNumberFormat="1" applyFont="1" applyFill="1" applyBorder="1" applyAlignment="1" applyProtection="1">
      <alignment vertical="center"/>
    </xf>
    <xf numFmtId="179" fontId="12" fillId="0" borderId="2" xfId="4" applyNumberFormat="1" applyFont="1" applyFill="1" applyBorder="1" applyAlignment="1" applyProtection="1">
      <alignment vertical="center"/>
    </xf>
    <xf numFmtId="176" fontId="12" fillId="0" borderId="52" xfId="4" applyNumberFormat="1" applyFont="1" applyFill="1" applyBorder="1" applyAlignment="1" applyProtection="1">
      <alignment vertical="center"/>
    </xf>
    <xf numFmtId="176" fontId="12" fillId="0" borderId="17" xfId="4" applyNumberFormat="1" applyFont="1" applyFill="1" applyBorder="1" applyAlignment="1" applyProtection="1">
      <alignment vertical="center"/>
    </xf>
    <xf numFmtId="179" fontId="12" fillId="0" borderId="13" xfId="4" applyNumberFormat="1" applyFont="1" applyFill="1" applyBorder="1" applyAlignment="1" applyProtection="1">
      <alignment vertical="center"/>
    </xf>
    <xf numFmtId="178" fontId="12" fillId="0" borderId="13" xfId="4" applyNumberFormat="1" applyFont="1" applyFill="1" applyBorder="1" applyAlignment="1" applyProtection="1">
      <alignment vertical="center"/>
    </xf>
    <xf numFmtId="176" fontId="12" fillId="0" borderId="58" xfId="4" applyNumberFormat="1" applyFont="1" applyFill="1" applyBorder="1" applyAlignment="1" applyProtection="1">
      <alignment vertical="center"/>
    </xf>
    <xf numFmtId="179" fontId="12" fillId="0" borderId="74" xfId="4" applyNumberFormat="1" applyFont="1" applyFill="1" applyBorder="1" applyAlignment="1" applyProtection="1">
      <alignment vertical="center"/>
    </xf>
    <xf numFmtId="176" fontId="12" fillId="0" borderId="23" xfId="4" applyNumberFormat="1" applyFont="1" applyFill="1" applyBorder="1" applyAlignment="1" applyProtection="1">
      <alignment vertical="center"/>
    </xf>
    <xf numFmtId="176" fontId="12" fillId="0" borderId="75" xfId="4" applyNumberFormat="1" applyFont="1" applyFill="1" applyBorder="1" applyAlignment="1" applyProtection="1">
      <alignment vertical="center"/>
    </xf>
    <xf numFmtId="179" fontId="12" fillId="0" borderId="75" xfId="4" applyNumberFormat="1" applyFont="1" applyFill="1" applyBorder="1" applyAlignment="1" applyProtection="1">
      <alignment vertical="center"/>
    </xf>
    <xf numFmtId="179" fontId="12" fillId="0" borderId="76"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xf>
    <xf numFmtId="176" fontId="12" fillId="9" borderId="78" xfId="4" applyNumberFormat="1" applyFont="1" applyFill="1" applyBorder="1" applyAlignment="1" applyProtection="1">
      <alignment vertical="center"/>
    </xf>
    <xf numFmtId="176" fontId="12" fillId="9" borderId="25" xfId="4" applyNumberFormat="1" applyFont="1" applyFill="1" applyBorder="1" applyAlignment="1" applyProtection="1">
      <alignment vertical="center"/>
    </xf>
    <xf numFmtId="176" fontId="12" fillId="0" borderId="0" xfId="4" applyNumberFormat="1" applyFont="1" applyFill="1" applyBorder="1" applyAlignment="1" applyProtection="1">
      <alignment horizontal="right" vertical="center"/>
    </xf>
    <xf numFmtId="176" fontId="12" fillId="0" borderId="2" xfId="4" applyNumberFormat="1" applyFont="1" applyFill="1" applyBorder="1" applyAlignment="1" applyProtection="1">
      <alignment horizontal="right" vertical="center"/>
    </xf>
    <xf numFmtId="176" fontId="0" fillId="0" borderId="2" xfId="4" applyNumberFormat="1" applyFont="1" applyFill="1" applyBorder="1" applyAlignment="1" applyProtection="1">
      <alignment horizontal="right" vertical="center"/>
    </xf>
    <xf numFmtId="178" fontId="12" fillId="0" borderId="2" xfId="4" applyNumberFormat="1" applyFont="1" applyFill="1" applyBorder="1" applyAlignment="1" applyProtection="1">
      <alignment horizontal="right" vertical="center"/>
    </xf>
    <xf numFmtId="176" fontId="12" fillId="0" borderId="52" xfId="4" applyNumberFormat="1" applyFont="1" applyFill="1" applyBorder="1" applyAlignment="1" applyProtection="1">
      <alignment horizontal="right" vertical="center"/>
    </xf>
    <xf numFmtId="176" fontId="12" fillId="0" borderId="53" xfId="4" applyNumberFormat="1" applyFont="1" applyFill="1" applyBorder="1" applyAlignment="1" applyProtection="1">
      <alignment vertical="center" shrinkToFit="1"/>
    </xf>
    <xf numFmtId="176" fontId="12" fillId="0" borderId="11" xfId="4" applyNumberFormat="1" applyFont="1" applyFill="1" applyBorder="1" applyAlignment="1" applyProtection="1">
      <alignment vertical="center" shrinkToFit="1"/>
    </xf>
    <xf numFmtId="176" fontId="12" fillId="0" borderId="54" xfId="4" applyNumberFormat="1" applyFont="1" applyFill="1" applyBorder="1" applyAlignment="1" applyProtection="1">
      <alignment vertical="center" shrinkToFit="1"/>
    </xf>
    <xf numFmtId="176" fontId="12" fillId="0" borderId="18" xfId="4" applyNumberFormat="1" applyFont="1" applyFill="1" applyBorder="1" applyAlignment="1" applyProtection="1">
      <alignment vertical="center" shrinkToFit="1"/>
    </xf>
    <xf numFmtId="179" fontId="12" fillId="0" borderId="18" xfId="4" applyNumberFormat="1" applyFont="1" applyFill="1" applyBorder="1" applyAlignment="1" applyProtection="1">
      <alignment vertical="center"/>
    </xf>
    <xf numFmtId="178" fontId="12" fillId="0" borderId="18" xfId="4" applyNumberFormat="1" applyFont="1" applyFill="1" applyBorder="1" applyAlignment="1" applyProtection="1">
      <alignment vertical="center"/>
    </xf>
    <xf numFmtId="176" fontId="12" fillId="0" borderId="55" xfId="4" applyNumberFormat="1" applyFont="1" applyFill="1" applyBorder="1" applyAlignment="1" applyProtection="1">
      <alignment vertical="center" shrinkToFit="1"/>
    </xf>
    <xf numFmtId="176" fontId="12" fillId="0" borderId="52" xfId="4" applyNumberFormat="1" applyFont="1" applyFill="1" applyBorder="1" applyAlignment="1" applyProtection="1">
      <alignment vertical="center" shrinkToFit="1"/>
    </xf>
    <xf numFmtId="176" fontId="12" fillId="0" borderId="23" xfId="4" applyNumberFormat="1" applyFont="1" applyFill="1" applyBorder="1" applyAlignment="1" applyProtection="1">
      <alignment vertical="center" shrinkToFit="1"/>
    </xf>
    <xf numFmtId="179" fontId="12" fillId="0" borderId="17" xfId="4" applyNumberFormat="1" applyFont="1" applyFill="1" applyBorder="1" applyAlignment="1" applyProtection="1">
      <alignment vertical="center"/>
    </xf>
    <xf numFmtId="179" fontId="12" fillId="0" borderId="50"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shrinkToFit="1"/>
    </xf>
    <xf numFmtId="176" fontId="12" fillId="0" borderId="0" xfId="4" applyNumberFormat="1" applyFont="1" applyFill="1" applyBorder="1" applyAlignment="1" applyProtection="1">
      <alignment horizontal="center" vertical="center"/>
    </xf>
    <xf numFmtId="179" fontId="12" fillId="0" borderId="0" xfId="4" applyNumberFormat="1" applyFont="1" applyFill="1" applyBorder="1" applyAlignment="1" applyProtection="1">
      <alignment vertical="center"/>
    </xf>
    <xf numFmtId="0" fontId="0" fillId="10" borderId="2" xfId="0" applyFill="1" applyBorder="1" applyAlignment="1">
      <alignment horizontal="center" vertical="center"/>
    </xf>
    <xf numFmtId="177" fontId="1" fillId="0" borderId="0" xfId="4" applyNumberFormat="1" applyFont="1" applyFill="1" applyBorder="1" applyAlignment="1" applyProtection="1">
      <alignment vertical="center" shrinkToFit="1"/>
    </xf>
    <xf numFmtId="177" fontId="1" fillId="0" borderId="0" xfId="4" applyNumberFormat="1" applyFont="1" applyFill="1" applyBorder="1" applyAlignment="1" applyProtection="1">
      <alignment vertical="center"/>
    </xf>
    <xf numFmtId="0" fontId="0" fillId="10" borderId="11" xfId="0" applyFill="1" applyBorder="1" applyAlignment="1">
      <alignment horizontal="center" vertical="center"/>
    </xf>
    <xf numFmtId="0" fontId="0" fillId="10" borderId="12" xfId="0" applyFill="1" applyBorder="1" applyAlignment="1">
      <alignment horizontal="center" vertical="center"/>
    </xf>
    <xf numFmtId="176" fontId="8" fillId="10" borderId="2" xfId="4" applyNumberFormat="1" applyFont="1" applyFill="1" applyBorder="1" applyAlignment="1" applyProtection="1">
      <alignment horizontal="center" vertical="center"/>
    </xf>
    <xf numFmtId="178" fontId="8" fillId="10" borderId="2" xfId="4" applyNumberFormat="1" applyFont="1" applyFill="1" applyBorder="1" applyAlignment="1" applyProtection="1">
      <alignment horizontal="center" vertical="center"/>
    </xf>
    <xf numFmtId="176" fontId="12" fillId="9" borderId="2" xfId="4" applyNumberFormat="1" applyFont="1" applyFill="1" applyBorder="1" applyAlignment="1" applyProtection="1">
      <alignment horizontal="center" vertical="center"/>
    </xf>
    <xf numFmtId="0" fontId="0" fillId="10" borderId="18" xfId="0" applyFill="1" applyBorder="1" applyAlignment="1">
      <alignment horizontal="center" vertical="center"/>
    </xf>
    <xf numFmtId="177" fontId="0" fillId="10" borderId="11" xfId="0" applyNumberFormat="1" applyFill="1" applyBorder="1" applyAlignment="1">
      <alignment vertical="center"/>
    </xf>
    <xf numFmtId="176" fontId="0" fillId="0" borderId="54" xfId="4" applyNumberFormat="1" applyFont="1" applyFill="1" applyBorder="1" applyAlignment="1" applyProtection="1">
      <alignment vertical="center"/>
    </xf>
    <xf numFmtId="177" fontId="1" fillId="0" borderId="12" xfId="4" applyNumberFormat="1" applyFill="1" applyBorder="1" applyAlignment="1" applyProtection="1">
      <alignment vertical="center"/>
    </xf>
    <xf numFmtId="177" fontId="0" fillId="10" borderId="12" xfId="0" applyNumberFormat="1" applyFill="1" applyBorder="1" applyAlignment="1">
      <alignment vertical="center"/>
    </xf>
    <xf numFmtId="177" fontId="0" fillId="10" borderId="18" xfId="0" applyNumberFormat="1" applyFill="1" applyBorder="1" applyAlignment="1">
      <alignment vertical="center"/>
    </xf>
    <xf numFmtId="185" fontId="1" fillId="0" borderId="2" xfId="4" applyNumberFormat="1" applyFill="1" applyBorder="1" applyAlignment="1" applyProtection="1">
      <alignment vertical="center"/>
    </xf>
    <xf numFmtId="185" fontId="1" fillId="10" borderId="2" xfId="4" applyNumberFormat="1" applyFill="1" applyBorder="1" applyAlignment="1" applyProtection="1">
      <alignment vertical="center"/>
    </xf>
    <xf numFmtId="186" fontId="1" fillId="0" borderId="13" xfId="4" applyNumberFormat="1" applyFill="1" applyBorder="1" applyAlignment="1" applyProtection="1">
      <alignment vertical="center"/>
    </xf>
    <xf numFmtId="186" fontId="0" fillId="10" borderId="79" xfId="0" applyNumberFormat="1" applyFill="1" applyBorder="1" applyAlignment="1">
      <alignment vertical="center"/>
    </xf>
    <xf numFmtId="186" fontId="1" fillId="0" borderId="26" xfId="4" applyNumberFormat="1" applyFill="1" applyBorder="1" applyAlignment="1" applyProtection="1">
      <alignment vertical="center"/>
    </xf>
    <xf numFmtId="186" fontId="1" fillId="10" borderId="26" xfId="4" applyNumberFormat="1" applyFill="1" applyBorder="1" applyAlignment="1" applyProtection="1">
      <alignment vertical="center"/>
    </xf>
    <xf numFmtId="0" fontId="0" fillId="0" borderId="24" xfId="0" applyBorder="1" applyAlignment="1">
      <alignment vertical="center" textRotation="255"/>
    </xf>
    <xf numFmtId="186" fontId="1" fillId="0" borderId="12" xfId="4" applyNumberFormat="1" applyFill="1" applyBorder="1" applyAlignment="1" applyProtection="1">
      <alignment vertical="center"/>
    </xf>
    <xf numFmtId="186" fontId="1" fillId="10" borderId="12" xfId="4" applyNumberFormat="1" applyFill="1" applyBorder="1" applyAlignment="1" applyProtection="1">
      <alignment vertical="center"/>
    </xf>
    <xf numFmtId="0" fontId="0" fillId="0" borderId="58" xfId="0" applyBorder="1" applyAlignment="1">
      <alignment vertical="center" textRotation="255"/>
    </xf>
    <xf numFmtId="186" fontId="1" fillId="11" borderId="12" xfId="4" applyNumberFormat="1" applyFill="1" applyBorder="1" applyAlignment="1" applyProtection="1">
      <alignment vertical="center"/>
    </xf>
    <xf numFmtId="186" fontId="1" fillId="0" borderId="18" xfId="4" applyNumberFormat="1" applyFill="1" applyBorder="1" applyAlignment="1" applyProtection="1">
      <alignment vertical="center"/>
    </xf>
    <xf numFmtId="186" fontId="1" fillId="10" borderId="18" xfId="4" applyNumberFormat="1" applyFill="1" applyBorder="1" applyAlignment="1" applyProtection="1">
      <alignment vertical="center"/>
    </xf>
    <xf numFmtId="177" fontId="1" fillId="0" borderId="2" xfId="4" applyNumberFormat="1" applyFill="1" applyBorder="1" applyAlignment="1" applyProtection="1">
      <alignment vertical="center"/>
    </xf>
    <xf numFmtId="177" fontId="1" fillId="10" borderId="2" xfId="4" applyNumberFormat="1" applyFill="1" applyBorder="1" applyAlignment="1" applyProtection="1">
      <alignment vertical="center"/>
    </xf>
    <xf numFmtId="177" fontId="1" fillId="0" borderId="4" xfId="4" applyNumberFormat="1" applyFill="1" applyBorder="1" applyAlignment="1" applyProtection="1">
      <alignment vertical="center"/>
    </xf>
    <xf numFmtId="177" fontId="1" fillId="10" borderId="3" xfId="4" applyNumberFormat="1" applyFill="1" applyBorder="1" applyAlignment="1" applyProtection="1">
      <alignment vertical="center"/>
    </xf>
    <xf numFmtId="177" fontId="1" fillId="10" borderId="11" xfId="4" applyNumberFormat="1" applyFill="1" applyBorder="1" applyAlignment="1" applyProtection="1">
      <alignment vertical="center"/>
    </xf>
    <xf numFmtId="177" fontId="1" fillId="10" borderId="12" xfId="4" applyNumberFormat="1" applyFill="1" applyBorder="1" applyAlignment="1" applyProtection="1">
      <alignment vertical="center"/>
    </xf>
    <xf numFmtId="177" fontId="1" fillId="10" borderId="18" xfId="4" applyNumberFormat="1" applyFill="1" applyBorder="1" applyAlignment="1" applyProtection="1">
      <alignment vertical="center"/>
    </xf>
    <xf numFmtId="177" fontId="1" fillId="10" borderId="4" xfId="4" applyNumberFormat="1" applyFill="1" applyBorder="1" applyAlignment="1" applyProtection="1">
      <alignment vertical="center"/>
    </xf>
    <xf numFmtId="0" fontId="0" fillId="0" borderId="50" xfId="0" applyBorder="1" applyAlignment="1">
      <alignment vertical="center" textRotation="255"/>
    </xf>
    <xf numFmtId="177" fontId="1" fillId="0" borderId="26" xfId="4" applyNumberFormat="1" applyFill="1" applyBorder="1" applyAlignment="1" applyProtection="1">
      <alignment vertical="center"/>
    </xf>
    <xf numFmtId="177" fontId="1" fillId="10" borderId="26" xfId="4" applyNumberFormat="1" applyFill="1" applyBorder="1" applyAlignment="1" applyProtection="1">
      <alignment vertical="center"/>
    </xf>
    <xf numFmtId="177" fontId="1" fillId="0" borderId="1" xfId="4" applyNumberFormat="1" applyFill="1" applyBorder="1" applyAlignment="1" applyProtection="1">
      <alignment vertical="center"/>
    </xf>
    <xf numFmtId="177" fontId="12" fillId="0" borderId="1" xfId="4" applyNumberFormat="1" applyFont="1" applyFill="1" applyBorder="1" applyAlignment="1" applyProtection="1">
      <alignment vertical="center" shrinkToFit="1"/>
    </xf>
    <xf numFmtId="177" fontId="0" fillId="0" borderId="1" xfId="0" applyNumberFormat="1" applyBorder="1" applyAlignment="1">
      <alignment vertical="center" shrinkToFit="1"/>
    </xf>
    <xf numFmtId="187" fontId="1" fillId="0" borderId="11" xfId="4" applyNumberFormat="1" applyFill="1" applyBorder="1" applyAlignment="1" applyProtection="1">
      <alignment vertical="center"/>
    </xf>
    <xf numFmtId="187" fontId="1" fillId="10" borderId="11" xfId="4" applyNumberFormat="1" applyFill="1" applyBorder="1" applyAlignment="1" applyProtection="1">
      <alignment vertical="center"/>
    </xf>
    <xf numFmtId="187" fontId="1" fillId="0" borderId="12" xfId="4" applyNumberFormat="1" applyFill="1" applyBorder="1" applyAlignment="1" applyProtection="1">
      <alignment vertical="center"/>
    </xf>
    <xf numFmtId="187" fontId="1" fillId="10" borderId="12" xfId="4" applyNumberFormat="1" applyFill="1" applyBorder="1" applyAlignment="1" applyProtection="1">
      <alignment vertical="center"/>
    </xf>
    <xf numFmtId="187" fontId="1" fillId="0" borderId="18" xfId="4" applyNumberFormat="1" applyFill="1" applyBorder="1" applyAlignment="1" applyProtection="1">
      <alignment vertical="center"/>
    </xf>
    <xf numFmtId="187" fontId="1" fillId="10" borderId="18" xfId="4" applyNumberFormat="1" applyFill="1" applyBorder="1" applyAlignment="1" applyProtection="1">
      <alignment vertical="center"/>
    </xf>
    <xf numFmtId="177" fontId="12" fillId="0" borderId="0" xfId="4" applyNumberFormat="1" applyFont="1" applyFill="1" applyBorder="1" applyAlignment="1" applyProtection="1">
      <alignment vertical="center" shrinkToFit="1"/>
    </xf>
    <xf numFmtId="177" fontId="0" fillId="0" borderId="0" xfId="0" applyNumberFormat="1" applyAlignment="1">
      <alignment vertical="center" shrinkToFit="1"/>
    </xf>
    <xf numFmtId="188" fontId="12" fillId="0" borderId="12" xfId="4" applyNumberFormat="1" applyFont="1" applyFill="1" applyBorder="1" applyAlignment="1" applyProtection="1">
      <alignment vertical="center"/>
    </xf>
    <xf numFmtId="188" fontId="1" fillId="10" borderId="12" xfId="4" applyNumberFormat="1" applyFill="1" applyBorder="1" applyAlignment="1" applyProtection="1">
      <alignment vertical="center"/>
    </xf>
    <xf numFmtId="177" fontId="0" fillId="0" borderId="12" xfId="4" applyNumberFormat="1" applyFont="1" applyFill="1" applyBorder="1" applyAlignment="1" applyProtection="1">
      <alignment horizontal="center" vertical="center"/>
    </xf>
    <xf numFmtId="177" fontId="12" fillId="10" borderId="12" xfId="4" applyNumberFormat="1" applyFont="1" applyFill="1" applyBorder="1" applyAlignment="1" applyProtection="1">
      <alignment horizontal="center" vertical="center"/>
    </xf>
    <xf numFmtId="189" fontId="1" fillId="0" borderId="12" xfId="4" applyNumberFormat="1" applyFill="1" applyBorder="1" applyAlignment="1" applyProtection="1">
      <alignment vertical="center"/>
    </xf>
    <xf numFmtId="189" fontId="1" fillId="10" borderId="12" xfId="4" applyNumberFormat="1" applyFill="1" applyBorder="1" applyAlignment="1" applyProtection="1">
      <alignment vertical="center"/>
    </xf>
    <xf numFmtId="190" fontId="1" fillId="0" borderId="12" xfId="4" applyNumberFormat="1" applyFill="1" applyBorder="1" applyAlignment="1" applyProtection="1">
      <alignment vertical="center"/>
    </xf>
    <xf numFmtId="190" fontId="1" fillId="10" borderId="12" xfId="4" applyNumberFormat="1" applyFill="1" applyBorder="1" applyAlignment="1" applyProtection="1">
      <alignment vertical="center"/>
    </xf>
    <xf numFmtId="177" fontId="0" fillId="0" borderId="11" xfId="4" applyNumberFormat="1" applyFont="1" applyFill="1" applyBorder="1" applyAlignment="1" applyProtection="1">
      <alignment horizontal="center" vertical="center"/>
    </xf>
    <xf numFmtId="190" fontId="12" fillId="10" borderId="11" xfId="4" applyNumberFormat="1" applyFont="1" applyFill="1" applyBorder="1" applyAlignment="1" applyProtection="1">
      <alignment horizontal="center" vertical="center"/>
    </xf>
    <xf numFmtId="177" fontId="0" fillId="0" borderId="18" xfId="4" applyNumberFormat="1" applyFont="1" applyFill="1" applyBorder="1" applyAlignment="1" applyProtection="1">
      <alignment horizontal="center" vertical="center"/>
    </xf>
    <xf numFmtId="187" fontId="12" fillId="10" borderId="18" xfId="4" applyNumberFormat="1" applyFont="1" applyFill="1" applyBorder="1" applyAlignment="1" applyProtection="1">
      <alignment horizontal="center" vertical="center"/>
    </xf>
    <xf numFmtId="187" fontId="0" fillId="0" borderId="18" xfId="4" applyNumberFormat="1" applyFont="1" applyFill="1" applyBorder="1" applyAlignment="1" applyProtection="1">
      <alignment horizontal="center" vertical="center"/>
    </xf>
    <xf numFmtId="177" fontId="12" fillId="10" borderId="18" xfId="4" applyNumberFormat="1" applyFont="1" applyFill="1" applyBorder="1" applyAlignment="1" applyProtection="1">
      <alignment horizontal="center" vertical="center"/>
    </xf>
    <xf numFmtId="176" fontId="6" fillId="0" borderId="0" xfId="4" applyNumberFormat="1" applyFont="1" applyFill="1" applyBorder="1" applyAlignment="1" applyProtection="1">
      <alignment vertical="center"/>
    </xf>
    <xf numFmtId="176" fontId="21" fillId="0" borderId="0" xfId="4" applyNumberFormat="1" applyFont="1" applyFill="1" applyBorder="1" applyAlignment="1" applyProtection="1">
      <alignment vertical="center"/>
    </xf>
    <xf numFmtId="177" fontId="0" fillId="0" borderId="0" xfId="4" applyNumberFormat="1" applyFont="1" applyFill="1" applyBorder="1" applyAlignment="1" applyProtection="1">
      <alignment vertical="center"/>
    </xf>
    <xf numFmtId="177" fontId="12" fillId="8" borderId="2" xfId="4" applyNumberFormat="1" applyFont="1" applyFill="1" applyBorder="1" applyAlignment="1" applyProtection="1">
      <alignment horizontal="center" vertical="center"/>
    </xf>
    <xf numFmtId="38" fontId="0" fillId="0" borderId="11" xfId="2" applyFont="1" applyBorder="1" applyAlignment="1" applyProtection="1">
      <alignment vertical="center"/>
    </xf>
    <xf numFmtId="38" fontId="0" fillId="0" borderId="26" xfId="2" applyFont="1" applyBorder="1" applyAlignment="1" applyProtection="1">
      <alignment vertical="center"/>
    </xf>
    <xf numFmtId="177" fontId="0" fillId="0" borderId="2" xfId="2" applyNumberFormat="1" applyFont="1" applyBorder="1" applyAlignment="1" applyProtection="1">
      <alignment vertical="center"/>
    </xf>
    <xf numFmtId="38" fontId="0" fillId="0" borderId="13" xfId="2" applyFont="1" applyBorder="1" applyAlignment="1" applyProtection="1">
      <alignment vertical="center"/>
    </xf>
    <xf numFmtId="38" fontId="0" fillId="0" borderId="3" xfId="2" applyFont="1" applyBorder="1" applyAlignment="1" applyProtection="1">
      <alignment vertical="center"/>
    </xf>
    <xf numFmtId="38" fontId="0" fillId="0" borderId="73" xfId="2" applyFont="1" applyBorder="1" applyAlignment="1" applyProtection="1">
      <alignment vertical="center"/>
    </xf>
    <xf numFmtId="176" fontId="1" fillId="0" borderId="73" xfId="4" applyNumberFormat="1" applyFill="1" applyBorder="1" applyAlignment="1" applyProtection="1">
      <alignment vertical="center"/>
    </xf>
    <xf numFmtId="38" fontId="12" fillId="9" borderId="17" xfId="2" applyFont="1" applyFill="1" applyBorder="1" applyAlignment="1" applyProtection="1">
      <alignment vertical="center"/>
    </xf>
    <xf numFmtId="38" fontId="0" fillId="0" borderId="0" xfId="2" applyFont="1" applyBorder="1" applyAlignment="1" applyProtection="1">
      <alignment vertical="center"/>
    </xf>
    <xf numFmtId="177" fontId="0" fillId="0" borderId="0" xfId="2" applyNumberFormat="1" applyFont="1" applyFill="1" applyBorder="1" applyAlignment="1" applyProtection="1">
      <alignment vertical="center"/>
    </xf>
    <xf numFmtId="177" fontId="0" fillId="0" borderId="18" xfId="2" applyNumberFormat="1" applyFont="1" applyBorder="1" applyAlignment="1" applyProtection="1">
      <alignment vertical="center"/>
    </xf>
    <xf numFmtId="178" fontId="12" fillId="9" borderId="17" xfId="2" applyNumberFormat="1" applyFont="1" applyFill="1" applyBorder="1" applyAlignment="1" applyProtection="1">
      <alignment vertical="center"/>
    </xf>
    <xf numFmtId="178" fontId="6" fillId="0" borderId="80" xfId="4" applyNumberFormat="1" applyFont="1" applyFill="1" applyBorder="1" applyAlignment="1" applyProtection="1">
      <alignment vertical="center"/>
    </xf>
    <xf numFmtId="176" fontId="27" fillId="0" borderId="0" xfId="4" applyNumberFormat="1" applyFont="1" applyFill="1" applyBorder="1" applyAlignment="1" applyProtection="1">
      <alignment vertical="center"/>
    </xf>
    <xf numFmtId="0" fontId="25" fillId="0" borderId="0" xfId="0" applyFont="1" applyAlignment="1">
      <alignment vertical="center"/>
    </xf>
    <xf numFmtId="176" fontId="25" fillId="0" borderId="0" xfId="4" applyNumberFormat="1" applyFont="1" applyFill="1" applyBorder="1" applyAlignment="1" applyProtection="1">
      <alignment vertical="center"/>
    </xf>
    <xf numFmtId="176" fontId="12" fillId="10" borderId="2" xfId="4" applyNumberFormat="1" applyFont="1" applyFill="1" applyBorder="1" applyAlignment="1" applyProtection="1">
      <alignment horizontal="center" vertical="center"/>
    </xf>
    <xf numFmtId="178" fontId="0" fillId="0" borderId="11" xfId="4" applyNumberFormat="1" applyFont="1" applyFill="1" applyBorder="1" applyAlignment="1" applyProtection="1">
      <alignment vertical="center"/>
    </xf>
    <xf numFmtId="178" fontId="0" fillId="0" borderId="18" xfId="4" applyNumberFormat="1" applyFont="1" applyFill="1" applyBorder="1" applyAlignment="1" applyProtection="1">
      <alignment vertical="center"/>
    </xf>
    <xf numFmtId="178" fontId="0" fillId="0" borderId="2" xfId="4" applyNumberFormat="1" applyFont="1" applyFill="1" applyBorder="1" applyAlignment="1" applyProtection="1">
      <alignment vertical="center"/>
    </xf>
    <xf numFmtId="177" fontId="0" fillId="0" borderId="2" xfId="4" applyNumberFormat="1" applyFont="1" applyFill="1" applyBorder="1" applyAlignment="1" applyProtection="1">
      <alignment vertical="center"/>
    </xf>
    <xf numFmtId="178" fontId="0" fillId="0" borderId="73" xfId="4" applyNumberFormat="1" applyFont="1" applyFill="1" applyBorder="1" applyAlignment="1" applyProtection="1">
      <alignment vertical="center"/>
    </xf>
    <xf numFmtId="178" fontId="12" fillId="9" borderId="17" xfId="4" applyNumberFormat="1" applyFont="1" applyFill="1" applyBorder="1" applyAlignment="1" applyProtection="1">
      <alignment vertical="center"/>
    </xf>
    <xf numFmtId="38" fontId="6" fillId="0" borderId="80" xfId="2" applyFont="1" applyFill="1" applyBorder="1" applyAlignment="1" applyProtection="1">
      <alignment vertical="center"/>
    </xf>
    <xf numFmtId="177" fontId="0" fillId="0" borderId="17" xfId="4" applyNumberFormat="1" applyFont="1" applyFill="1" applyBorder="1" applyAlignment="1" applyProtection="1">
      <alignment vertical="center"/>
    </xf>
    <xf numFmtId="176" fontId="12" fillId="9" borderId="2" xfId="4" applyNumberFormat="1" applyFont="1" applyFill="1" applyBorder="1" applyAlignment="1" applyProtection="1">
      <alignment vertical="center"/>
    </xf>
    <xf numFmtId="187" fontId="1" fillId="5" borderId="62" xfId="4" applyNumberFormat="1" applyFill="1" applyBorder="1" applyAlignment="1" applyProtection="1">
      <alignment vertical="center"/>
      <protection locked="0"/>
    </xf>
    <xf numFmtId="177" fontId="1" fillId="5" borderId="64" xfId="4" applyNumberFormat="1" applyFill="1" applyBorder="1" applyAlignment="1" applyProtection="1">
      <alignment vertical="center"/>
      <protection locked="0"/>
    </xf>
    <xf numFmtId="187" fontId="1" fillId="5" borderId="64" xfId="4" applyNumberFormat="1" applyFill="1" applyBorder="1" applyAlignment="1" applyProtection="1">
      <alignment vertical="center"/>
      <protection locked="0"/>
    </xf>
    <xf numFmtId="187" fontId="1" fillId="5" borderId="71" xfId="4" applyNumberFormat="1" applyFill="1" applyBorder="1" applyAlignment="1" applyProtection="1">
      <alignment vertical="center"/>
      <protection locked="0"/>
    </xf>
    <xf numFmtId="177" fontId="1" fillId="5" borderId="62" xfId="4" applyNumberFormat="1" applyFill="1" applyBorder="1" applyAlignment="1" applyProtection="1">
      <alignment vertical="center"/>
      <protection locked="0"/>
    </xf>
    <xf numFmtId="188" fontId="12" fillId="5" borderId="64" xfId="4" applyNumberFormat="1" applyFont="1" applyFill="1" applyBorder="1" applyAlignment="1" applyProtection="1">
      <alignment vertical="center"/>
      <protection locked="0"/>
    </xf>
    <xf numFmtId="177" fontId="1" fillId="5" borderId="71" xfId="4" applyNumberFormat="1" applyFill="1" applyBorder="1" applyAlignment="1" applyProtection="1">
      <alignment vertical="center"/>
      <protection locked="0"/>
    </xf>
    <xf numFmtId="177" fontId="1" fillId="5" borderId="81" xfId="4" applyNumberFormat="1" applyFill="1" applyBorder="1" applyAlignment="1" applyProtection="1">
      <alignment vertical="center"/>
      <protection locked="0"/>
    </xf>
    <xf numFmtId="187" fontId="1" fillId="5" borderId="82" xfId="4" applyNumberFormat="1" applyFill="1" applyBorder="1" applyAlignment="1" applyProtection="1">
      <alignment vertical="center"/>
      <protection locked="0"/>
    </xf>
    <xf numFmtId="189" fontId="1" fillId="5" borderId="82" xfId="4" applyNumberFormat="1" applyFill="1" applyBorder="1" applyAlignment="1" applyProtection="1">
      <alignment vertical="center"/>
      <protection locked="0"/>
    </xf>
    <xf numFmtId="190" fontId="1" fillId="5" borderId="82" xfId="4" applyNumberFormat="1" applyFill="1" applyBorder="1" applyAlignment="1" applyProtection="1">
      <alignment vertical="center"/>
      <protection locked="0"/>
    </xf>
    <xf numFmtId="187" fontId="1" fillId="5" borderId="83" xfId="4" applyNumberFormat="1" applyFill="1" applyBorder="1" applyAlignment="1" applyProtection="1">
      <alignment vertical="center"/>
      <protection locked="0"/>
    </xf>
    <xf numFmtId="177" fontId="1" fillId="5" borderId="84" xfId="4" applyNumberFormat="1" applyFill="1" applyBorder="1" applyAlignment="1" applyProtection="1">
      <alignment vertical="center"/>
      <protection locked="0"/>
    </xf>
    <xf numFmtId="185" fontId="1" fillId="5" borderId="85" xfId="4" applyNumberFormat="1" applyFill="1" applyBorder="1" applyAlignment="1" applyProtection="1">
      <alignment vertical="center"/>
      <protection locked="0"/>
    </xf>
    <xf numFmtId="186" fontId="1" fillId="5" borderId="86" xfId="4" applyNumberFormat="1" applyFill="1" applyBorder="1" applyAlignment="1" applyProtection="1">
      <alignment vertical="center"/>
      <protection locked="0"/>
    </xf>
    <xf numFmtId="186" fontId="1" fillId="5" borderId="87" xfId="4" applyNumberFormat="1" applyFill="1" applyBorder="1" applyAlignment="1" applyProtection="1">
      <alignment vertical="center"/>
      <protection locked="0"/>
    </xf>
    <xf numFmtId="186" fontId="1" fillId="5" borderId="64" xfId="4" applyNumberFormat="1" applyFill="1" applyBorder="1" applyAlignment="1" applyProtection="1">
      <alignment vertical="center"/>
      <protection locked="0"/>
    </xf>
    <xf numFmtId="186" fontId="1" fillId="5" borderId="84" xfId="4" applyNumberFormat="1" applyFill="1" applyBorder="1" applyAlignment="1" applyProtection="1">
      <alignment vertical="center"/>
      <protection locked="0"/>
    </xf>
    <xf numFmtId="177" fontId="1" fillId="5" borderId="85" xfId="4" applyNumberFormat="1" applyFill="1" applyBorder="1" applyAlignment="1" applyProtection="1">
      <alignment vertical="center"/>
      <protection locked="0"/>
    </xf>
    <xf numFmtId="177" fontId="1" fillId="5" borderId="88" xfId="4" applyNumberFormat="1" applyFill="1" applyBorder="1" applyAlignment="1" applyProtection="1">
      <alignment vertical="center"/>
      <protection locked="0"/>
    </xf>
    <xf numFmtId="177" fontId="1" fillId="5" borderId="89" xfId="4" applyNumberFormat="1" applyFill="1" applyBorder="1" applyAlignment="1" applyProtection="1">
      <alignment vertical="center"/>
      <protection locked="0"/>
    </xf>
    <xf numFmtId="38" fontId="12" fillId="6" borderId="11" xfId="2" applyFont="1" applyFill="1" applyBorder="1" applyAlignment="1" applyProtection="1">
      <alignment vertical="center"/>
      <protection locked="0"/>
    </xf>
    <xf numFmtId="177" fontId="12" fillId="6" borderId="18" xfId="2" applyNumberFormat="1" applyFont="1" applyFill="1" applyBorder="1" applyAlignment="1" applyProtection="1">
      <alignment vertical="center"/>
      <protection locked="0"/>
    </xf>
    <xf numFmtId="176" fontId="22"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vertical="center" shrinkToFit="1"/>
    </xf>
    <xf numFmtId="176" fontId="5" fillId="0" borderId="0" xfId="4" applyNumberFormat="1" applyFont="1" applyFill="1" applyBorder="1" applyAlignment="1" applyProtection="1">
      <alignment vertical="center"/>
    </xf>
    <xf numFmtId="176" fontId="6"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xf>
    <xf numFmtId="176" fontId="1" fillId="7"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vertical="center"/>
    </xf>
    <xf numFmtId="176" fontId="7"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shrinkToFit="1"/>
    </xf>
    <xf numFmtId="176" fontId="4" fillId="0" borderId="0" xfId="4" applyNumberFormat="1" applyFont="1" applyFill="1" applyBorder="1" applyAlignment="1" applyProtection="1">
      <alignment vertical="center"/>
    </xf>
    <xf numFmtId="176" fontId="9" fillId="7" borderId="0"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12" xfId="4" applyNumberFormat="1" applyFont="1" applyFill="1" applyBorder="1" applyAlignment="1" applyProtection="1">
      <alignment vertical="center"/>
    </xf>
    <xf numFmtId="176" fontId="8" fillId="0" borderId="26" xfId="4" applyNumberFormat="1" applyFont="1" applyFill="1" applyBorder="1" applyAlignment="1" applyProtection="1">
      <alignment vertical="center"/>
    </xf>
    <xf numFmtId="176" fontId="8" fillId="0" borderId="90" xfId="4" applyNumberFormat="1" applyFont="1" applyFill="1" applyBorder="1" applyAlignment="1" applyProtection="1">
      <alignment vertical="center"/>
    </xf>
    <xf numFmtId="176" fontId="8" fillId="0" borderId="91" xfId="4" applyNumberFormat="1" applyFont="1" applyFill="1" applyBorder="1" applyAlignment="1" applyProtection="1">
      <alignment vertical="center"/>
    </xf>
    <xf numFmtId="176" fontId="8" fillId="0" borderId="17" xfId="4" applyNumberFormat="1" applyFont="1" applyFill="1" applyBorder="1" applyAlignment="1" applyProtection="1">
      <alignment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176" fontId="16" fillId="0" borderId="0" xfId="4" applyNumberFormat="1" applyFont="1" applyFill="1" applyBorder="1" applyAlignment="1" applyProtection="1">
      <alignment vertical="center" textRotation="255"/>
    </xf>
    <xf numFmtId="176" fontId="8" fillId="0" borderId="25" xfId="4" applyNumberFormat="1" applyFont="1" applyFill="1" applyBorder="1" applyAlignment="1" applyProtection="1">
      <alignment vertical="center"/>
    </xf>
    <xf numFmtId="176" fontId="8" fillId="0" borderId="13" xfId="4" applyNumberFormat="1" applyFont="1" applyFill="1" applyBorder="1" applyAlignment="1" applyProtection="1">
      <alignment vertical="center"/>
    </xf>
    <xf numFmtId="176" fontId="8" fillId="0" borderId="70" xfId="4" applyNumberFormat="1" applyFont="1" applyFill="1" applyBorder="1" applyAlignment="1" applyProtection="1">
      <alignment vertical="center"/>
    </xf>
    <xf numFmtId="176" fontId="8" fillId="0" borderId="16" xfId="4" applyNumberFormat="1" applyFont="1" applyFill="1" applyBorder="1" applyAlignment="1" applyProtection="1">
      <alignment vertical="center"/>
    </xf>
    <xf numFmtId="176" fontId="8" fillId="0" borderId="92" xfId="4" applyNumberFormat="1" applyFont="1" applyFill="1" applyBorder="1" applyAlignment="1" applyProtection="1">
      <alignment vertical="center"/>
    </xf>
    <xf numFmtId="176" fontId="8" fillId="0" borderId="65" xfId="4" applyNumberFormat="1" applyFont="1" applyFill="1" applyBorder="1" applyAlignment="1" applyProtection="1">
      <alignment vertical="center"/>
    </xf>
    <xf numFmtId="176" fontId="8" fillId="0" borderId="93" xfId="4" applyNumberFormat="1" applyFont="1" applyFill="1" applyBorder="1" applyAlignment="1" applyProtection="1">
      <alignment vertical="center"/>
    </xf>
    <xf numFmtId="176" fontId="4" fillId="0" borderId="52" xfId="4" applyNumberFormat="1" applyFont="1" applyFill="1" applyBorder="1" applyAlignment="1" applyProtection="1">
      <alignment horizontal="center" vertical="center" wrapText="1"/>
    </xf>
    <xf numFmtId="176" fontId="1" fillId="0" borderId="94" xfId="4" applyNumberFormat="1" applyFont="1" applyFill="1" applyBorder="1" applyAlignment="1" applyProtection="1">
      <alignment horizontal="center" vertical="center"/>
    </xf>
    <xf numFmtId="176" fontId="1" fillId="0" borderId="52" xfId="4" applyNumberFormat="1" applyFill="1" applyBorder="1" applyAlignment="1" applyProtection="1">
      <alignment horizontal="center" vertical="center"/>
    </xf>
    <xf numFmtId="176" fontId="1" fillId="0" borderId="52" xfId="4" applyNumberFormat="1" applyFont="1" applyFill="1" applyBorder="1" applyAlignment="1" applyProtection="1">
      <alignment horizontal="center" vertical="center"/>
    </xf>
    <xf numFmtId="176" fontId="1" fillId="0" borderId="1" xfId="4" applyNumberFormat="1" applyFont="1" applyFill="1" applyBorder="1" applyAlignment="1" applyProtection="1">
      <alignment horizontal="center" vertical="center"/>
    </xf>
    <xf numFmtId="176" fontId="1" fillId="5" borderId="95" xfId="4" applyNumberFormat="1" applyFont="1" applyFill="1" applyBorder="1" applyAlignment="1" applyProtection="1">
      <alignment horizontal="center" vertical="center"/>
    </xf>
    <xf numFmtId="176" fontId="1" fillId="5" borderId="96" xfId="4" applyNumberFormat="1" applyFont="1" applyFill="1" applyBorder="1" applyAlignment="1" applyProtection="1">
      <alignment horizontal="center" vertical="center"/>
    </xf>
    <xf numFmtId="176" fontId="1" fillId="2" borderId="97" xfId="4" applyNumberFormat="1" applyFont="1" applyFill="1" applyBorder="1" applyAlignment="1" applyProtection="1">
      <alignment horizontal="center" vertical="center"/>
    </xf>
    <xf numFmtId="176" fontId="1" fillId="2" borderId="96" xfId="4" applyNumberFormat="1" applyFont="1" applyFill="1" applyBorder="1" applyAlignment="1" applyProtection="1">
      <alignment horizontal="center" vertical="center"/>
    </xf>
    <xf numFmtId="176" fontId="1" fillId="3" borderId="1" xfId="4" applyNumberFormat="1" applyFont="1" applyFill="1" applyBorder="1" applyAlignment="1" applyProtection="1">
      <alignment horizontal="center" vertical="center"/>
    </xf>
    <xf numFmtId="176" fontId="1" fillId="3" borderId="2" xfId="4" applyNumberFormat="1" applyFont="1" applyFill="1" applyBorder="1" applyAlignment="1" applyProtection="1">
      <alignment horizontal="center" vertical="center"/>
    </xf>
    <xf numFmtId="176" fontId="12" fillId="0" borderId="13" xfId="4" applyNumberFormat="1" applyFont="1" applyFill="1" applyBorder="1" applyAlignment="1" applyProtection="1">
      <alignment vertical="center" shrinkToFit="1"/>
    </xf>
    <xf numFmtId="176" fontId="1" fillId="0" borderId="79" xfId="4" applyNumberFormat="1" applyFill="1" applyBorder="1" applyAlignment="1" applyProtection="1">
      <alignment vertical="center"/>
    </xf>
    <xf numFmtId="176" fontId="1" fillId="0" borderId="58" xfId="4" applyNumberFormat="1" applyFill="1" applyBorder="1" applyAlignment="1" applyProtection="1">
      <alignment vertical="center"/>
    </xf>
    <xf numFmtId="176" fontId="1" fillId="0" borderId="98" xfId="4" applyNumberFormat="1" applyFill="1" applyBorder="1" applyAlignment="1" applyProtection="1">
      <alignment vertical="center"/>
    </xf>
    <xf numFmtId="176" fontId="1" fillId="0" borderId="99" xfId="4" applyNumberFormat="1" applyFill="1" applyBorder="1" applyAlignment="1" applyProtection="1">
      <alignment vertical="center"/>
    </xf>
    <xf numFmtId="176" fontId="1" fillId="0" borderId="100" xfId="4" applyNumberFormat="1" applyFill="1" applyBorder="1" applyAlignment="1" applyProtection="1">
      <alignment vertical="center"/>
    </xf>
    <xf numFmtId="176" fontId="1" fillId="0" borderId="19" xfId="4" applyNumberFormat="1" applyFill="1" applyBorder="1" applyAlignment="1" applyProtection="1">
      <alignment vertical="center"/>
    </xf>
    <xf numFmtId="176" fontId="1" fillId="0" borderId="54" xfId="4" applyNumberFormat="1" applyFill="1" applyBorder="1" applyAlignment="1" applyProtection="1">
      <alignment vertical="center"/>
    </xf>
    <xf numFmtId="176" fontId="1" fillId="0" borderId="101" xfId="4" applyNumberFormat="1" applyFill="1" applyBorder="1" applyAlignment="1" applyProtection="1">
      <alignment vertical="center"/>
    </xf>
    <xf numFmtId="176" fontId="1" fillId="0" borderId="102" xfId="4" applyNumberFormat="1" applyFill="1" applyBorder="1" applyAlignment="1" applyProtection="1">
      <alignment vertical="center"/>
    </xf>
    <xf numFmtId="176" fontId="1" fillId="0" borderId="103" xfId="4" applyNumberFormat="1" applyFill="1" applyBorder="1" applyAlignment="1" applyProtection="1">
      <alignment vertical="center"/>
    </xf>
    <xf numFmtId="176" fontId="1" fillId="0" borderId="104" xfId="4" applyNumberFormat="1" applyFill="1" applyBorder="1" applyAlignment="1" applyProtection="1">
      <alignment vertical="center"/>
    </xf>
    <xf numFmtId="176" fontId="1" fillId="0" borderId="6" xfId="4" applyNumberFormat="1" applyFill="1" applyBorder="1" applyAlignment="1" applyProtection="1">
      <alignment vertical="center"/>
    </xf>
    <xf numFmtId="176" fontId="1" fillId="0" borderId="26" xfId="4" applyNumberFormat="1" applyFont="1" applyFill="1" applyBorder="1" applyAlignment="1" applyProtection="1">
      <alignment vertical="center" shrinkToFit="1"/>
    </xf>
    <xf numFmtId="176" fontId="1" fillId="0" borderId="20" xfId="4" applyNumberFormat="1" applyFill="1" applyBorder="1" applyAlignment="1" applyProtection="1">
      <alignment vertical="center"/>
    </xf>
    <xf numFmtId="176" fontId="1" fillId="0" borderId="105" xfId="4" applyNumberFormat="1" applyFill="1" applyBorder="1" applyAlignment="1" applyProtection="1">
      <alignment vertical="center"/>
    </xf>
    <xf numFmtId="176" fontId="1" fillId="0" borderId="106" xfId="4" applyNumberFormat="1" applyFill="1" applyBorder="1" applyAlignment="1" applyProtection="1">
      <alignment vertical="center"/>
    </xf>
    <xf numFmtId="176" fontId="1" fillId="0" borderId="107" xfId="4" applyNumberFormat="1" applyFill="1" applyBorder="1" applyAlignment="1" applyProtection="1">
      <alignment vertical="center"/>
    </xf>
    <xf numFmtId="176" fontId="1" fillId="0" borderId="108" xfId="4" applyNumberFormat="1" applyFill="1" applyBorder="1" applyAlignment="1" applyProtection="1">
      <alignment vertical="center"/>
    </xf>
    <xf numFmtId="176" fontId="1" fillId="4" borderId="1" xfId="4" applyNumberFormat="1" applyFill="1" applyBorder="1" applyAlignment="1" applyProtection="1">
      <alignment vertical="center"/>
    </xf>
    <xf numFmtId="176" fontId="1" fillId="4" borderId="52" xfId="4" applyNumberFormat="1" applyFill="1" applyBorder="1" applyAlignment="1" applyProtection="1">
      <alignment vertical="center"/>
    </xf>
    <xf numFmtId="176" fontId="1" fillId="4" borderId="109" xfId="4" applyNumberFormat="1" applyFill="1" applyBorder="1" applyAlignment="1" applyProtection="1">
      <alignment vertical="center"/>
    </xf>
    <xf numFmtId="176" fontId="1" fillId="0" borderId="110" xfId="4" applyNumberFormat="1" applyFill="1" applyBorder="1" applyAlignment="1" applyProtection="1">
      <alignment vertical="center"/>
    </xf>
    <xf numFmtId="176" fontId="1" fillId="0" borderId="111" xfId="4" applyNumberFormat="1" applyFill="1" applyBorder="1" applyAlignment="1" applyProtection="1">
      <alignment vertical="center"/>
    </xf>
    <xf numFmtId="176" fontId="1" fillId="0" borderId="96" xfId="4" applyNumberFormat="1" applyFill="1" applyBorder="1" applyAlignment="1" applyProtection="1">
      <alignment vertical="center"/>
    </xf>
    <xf numFmtId="176" fontId="1" fillId="0" borderId="112" xfId="4" applyNumberFormat="1" applyFill="1" applyBorder="1" applyAlignment="1" applyProtection="1">
      <alignment vertical="center"/>
    </xf>
    <xf numFmtId="176" fontId="1" fillId="0" borderId="53" xfId="4" applyNumberFormat="1" applyFill="1" applyBorder="1" applyAlignment="1" applyProtection="1">
      <alignment vertical="center"/>
    </xf>
    <xf numFmtId="176" fontId="1" fillId="0" borderId="113" xfId="4" applyNumberFormat="1" applyFill="1" applyBorder="1" applyAlignment="1" applyProtection="1">
      <alignment vertical="center"/>
    </xf>
    <xf numFmtId="176" fontId="1" fillId="0" borderId="114" xfId="4" applyNumberFormat="1" applyFill="1" applyBorder="1" applyAlignment="1" applyProtection="1">
      <alignment vertical="center"/>
    </xf>
    <xf numFmtId="176" fontId="1" fillId="0" borderId="115" xfId="4" applyNumberFormat="1" applyFill="1" applyBorder="1" applyAlignment="1" applyProtection="1">
      <alignment vertical="center"/>
    </xf>
    <xf numFmtId="176" fontId="1" fillId="0" borderId="116" xfId="4" applyNumberFormat="1" applyFill="1" applyBorder="1" applyAlignment="1" applyProtection="1">
      <alignment vertical="center"/>
    </xf>
    <xf numFmtId="176" fontId="1" fillId="0" borderId="12" xfId="4" applyNumberFormat="1" applyFont="1" applyFill="1" applyBorder="1" applyAlignment="1" applyProtection="1">
      <alignment vertical="center" shrinkToFit="1"/>
    </xf>
    <xf numFmtId="176" fontId="1" fillId="0" borderId="12" xfId="4" applyNumberFormat="1" applyFill="1" applyBorder="1" applyAlignment="1" applyProtection="1">
      <alignment vertical="center" shrinkToFit="1"/>
    </xf>
    <xf numFmtId="176" fontId="1" fillId="0" borderId="18" xfId="4" applyNumberFormat="1" applyFill="1" applyBorder="1" applyAlignment="1" applyProtection="1">
      <alignment vertical="center" shrinkToFit="1"/>
    </xf>
    <xf numFmtId="176" fontId="1" fillId="12" borderId="94" xfId="4" applyNumberFormat="1" applyFill="1" applyBorder="1" applyAlignment="1" applyProtection="1">
      <alignment vertical="center"/>
    </xf>
    <xf numFmtId="176" fontId="1" fillId="12" borderId="117" xfId="4" applyNumberFormat="1" applyFill="1" applyBorder="1" applyAlignment="1" applyProtection="1">
      <alignment vertical="center"/>
    </xf>
    <xf numFmtId="176" fontId="1" fillId="0" borderId="13" xfId="4" applyNumberFormat="1" applyFill="1" applyBorder="1" applyAlignment="1" applyProtection="1">
      <alignment vertical="center" shrinkToFit="1"/>
    </xf>
    <xf numFmtId="176" fontId="1" fillId="0" borderId="118" xfId="4" applyNumberFormat="1" applyFill="1" applyBorder="1" applyAlignment="1" applyProtection="1">
      <alignment vertical="center"/>
    </xf>
    <xf numFmtId="176" fontId="1" fillId="0" borderId="19" xfId="4" applyNumberFormat="1" applyFont="1" applyFill="1" applyBorder="1" applyAlignment="1" applyProtection="1">
      <alignment vertical="center"/>
    </xf>
    <xf numFmtId="176" fontId="1" fillId="0" borderId="119" xfId="4" applyNumberFormat="1" applyFill="1" applyBorder="1" applyAlignment="1" applyProtection="1">
      <alignment vertical="center"/>
    </xf>
    <xf numFmtId="176" fontId="1" fillId="0" borderId="120" xfId="4" applyNumberFormat="1" applyFill="1" applyBorder="1" applyAlignment="1" applyProtection="1">
      <alignment vertical="center"/>
    </xf>
    <xf numFmtId="176" fontId="1" fillId="4" borderId="121" xfId="4" applyNumberFormat="1" applyFill="1" applyBorder="1" applyAlignment="1" applyProtection="1">
      <alignment vertical="center"/>
    </xf>
    <xf numFmtId="176" fontId="1" fillId="0" borderId="122" xfId="4" applyNumberFormat="1" applyFill="1" applyBorder="1" applyAlignment="1" applyProtection="1">
      <alignment vertical="center"/>
    </xf>
    <xf numFmtId="176" fontId="1" fillId="12" borderId="1" xfId="4" applyNumberFormat="1" applyFill="1" applyBorder="1" applyAlignment="1" applyProtection="1">
      <alignment vertical="center"/>
    </xf>
    <xf numFmtId="176" fontId="1" fillId="12" borderId="52" xfId="4" applyNumberFormat="1" applyFill="1" applyBorder="1" applyAlignment="1" applyProtection="1">
      <alignment vertical="center"/>
    </xf>
    <xf numFmtId="176" fontId="1" fillId="0" borderId="94" xfId="4" applyNumberFormat="1" applyFill="1" applyBorder="1" applyAlignment="1" applyProtection="1">
      <alignment vertical="center"/>
    </xf>
    <xf numFmtId="176" fontId="1" fillId="0" borderId="123" xfId="4" applyNumberFormat="1" applyFill="1" applyBorder="1" applyAlignment="1" applyProtection="1">
      <alignment vertical="center"/>
    </xf>
    <xf numFmtId="176" fontId="1" fillId="4" borderId="22" xfId="4" applyNumberFormat="1" applyFill="1" applyBorder="1" applyAlignment="1" applyProtection="1">
      <alignment vertical="center"/>
    </xf>
    <xf numFmtId="176" fontId="1" fillId="4" borderId="23" xfId="4" applyNumberFormat="1" applyFill="1" applyBorder="1" applyAlignment="1" applyProtection="1">
      <alignment vertical="center"/>
    </xf>
    <xf numFmtId="176" fontId="1" fillId="4" borderId="124" xfId="4" applyNumberFormat="1" applyFill="1" applyBorder="1" applyAlignment="1" applyProtection="1">
      <alignment vertical="center"/>
    </xf>
    <xf numFmtId="176" fontId="1" fillId="4" borderId="125" xfId="4" applyNumberFormat="1" applyFill="1" applyBorder="1" applyAlignment="1" applyProtection="1">
      <alignment vertical="center"/>
    </xf>
    <xf numFmtId="176" fontId="1" fillId="4" borderId="126" xfId="4" applyNumberFormat="1" applyFill="1" applyBorder="1" applyAlignment="1" applyProtection="1">
      <alignment vertical="center"/>
    </xf>
    <xf numFmtId="176" fontId="1" fillId="0" borderId="127" xfId="4" applyNumberFormat="1" applyFill="1" applyBorder="1" applyAlignment="1" applyProtection="1">
      <alignment vertical="center"/>
    </xf>
    <xf numFmtId="176" fontId="1" fillId="0" borderId="23" xfId="4" applyNumberFormat="1" applyFill="1" applyBorder="1" applyAlignment="1" applyProtection="1">
      <alignment vertical="center"/>
    </xf>
    <xf numFmtId="176" fontId="1" fillId="4" borderId="21" xfId="4" applyNumberFormat="1" applyFill="1" applyBorder="1" applyAlignment="1" applyProtection="1">
      <alignment vertical="center"/>
    </xf>
    <xf numFmtId="176" fontId="1" fillId="4" borderId="57" xfId="4" applyNumberFormat="1" applyFill="1" applyBorder="1" applyAlignment="1" applyProtection="1">
      <alignment vertical="center"/>
    </xf>
    <xf numFmtId="176" fontId="1" fillId="4" borderId="128" xfId="4" applyNumberFormat="1" applyFill="1" applyBorder="1" applyAlignment="1" applyProtection="1">
      <alignment vertical="center"/>
    </xf>
    <xf numFmtId="176" fontId="1" fillId="4" borderId="129" xfId="4" applyNumberFormat="1" applyFill="1" applyBorder="1" applyAlignment="1" applyProtection="1">
      <alignment vertical="center"/>
    </xf>
    <xf numFmtId="176" fontId="1" fillId="4" borderId="130" xfId="4" applyNumberFormat="1" applyFill="1" applyBorder="1" applyAlignment="1" applyProtection="1">
      <alignment vertical="center"/>
    </xf>
    <xf numFmtId="176" fontId="1" fillId="0" borderId="131" xfId="4" applyNumberFormat="1" applyFill="1" applyBorder="1" applyAlignment="1" applyProtection="1">
      <alignment vertical="center"/>
    </xf>
    <xf numFmtId="176" fontId="1" fillId="0" borderId="57" xfId="4" applyNumberFormat="1" applyFill="1" applyBorder="1" applyAlignment="1" applyProtection="1">
      <alignment vertical="center"/>
    </xf>
    <xf numFmtId="176" fontId="1" fillId="0" borderId="132" xfId="4" applyNumberFormat="1" applyFill="1" applyBorder="1" applyAlignment="1" applyProtection="1">
      <alignment vertical="center"/>
    </xf>
    <xf numFmtId="176" fontId="1" fillId="0" borderId="25" xfId="4" applyNumberFormat="1" applyFill="1" applyBorder="1" applyAlignment="1" applyProtection="1">
      <alignment vertical="center"/>
    </xf>
    <xf numFmtId="176" fontId="1" fillId="0" borderId="78" xfId="4" applyNumberFormat="1" applyFill="1" applyBorder="1" applyAlignment="1" applyProtection="1">
      <alignment vertical="center"/>
    </xf>
    <xf numFmtId="176" fontId="1" fillId="0" borderId="13" xfId="4" applyNumberFormat="1" applyFont="1" applyFill="1" applyBorder="1" applyAlignment="1" applyProtection="1">
      <alignment vertical="center" shrinkToFit="1"/>
    </xf>
    <xf numFmtId="176" fontId="1" fillId="0" borderId="99" xfId="1" applyNumberFormat="1" applyFill="1" applyBorder="1" applyAlignment="1" applyProtection="1">
      <alignment vertical="center"/>
    </xf>
    <xf numFmtId="176" fontId="1" fillId="4" borderId="112" xfId="4" applyNumberFormat="1" applyFill="1" applyBorder="1" applyAlignment="1" applyProtection="1">
      <alignment vertical="center"/>
    </xf>
    <xf numFmtId="176" fontId="1" fillId="4" borderId="53" xfId="4" applyNumberFormat="1" applyFill="1" applyBorder="1" applyAlignment="1" applyProtection="1">
      <alignment vertical="center"/>
    </xf>
    <xf numFmtId="176" fontId="1" fillId="4" borderId="113" xfId="4" applyNumberFormat="1" applyFill="1" applyBorder="1" applyAlignment="1" applyProtection="1">
      <alignment vertical="center"/>
    </xf>
    <xf numFmtId="176" fontId="1" fillId="4" borderId="19" xfId="4" applyNumberFormat="1" applyFill="1" applyBorder="1" applyAlignment="1" applyProtection="1">
      <alignment vertical="center"/>
    </xf>
    <xf numFmtId="176" fontId="1" fillId="4" borderId="54" xfId="4" applyNumberFormat="1" applyFill="1" applyBorder="1" applyAlignment="1" applyProtection="1">
      <alignment vertical="center"/>
    </xf>
    <xf numFmtId="176" fontId="1" fillId="4" borderId="101" xfId="4" applyNumberFormat="1" applyFill="1" applyBorder="1" applyAlignment="1" applyProtection="1">
      <alignment vertical="center"/>
    </xf>
    <xf numFmtId="176" fontId="1" fillId="12" borderId="19" xfId="4" applyNumberFormat="1" applyFill="1" applyBorder="1" applyAlignment="1" applyProtection="1">
      <alignment vertical="center"/>
    </xf>
    <xf numFmtId="176" fontId="1" fillId="12" borderId="54" xfId="4" applyNumberFormat="1" applyFill="1" applyBorder="1" applyAlignment="1" applyProtection="1">
      <alignment vertical="center"/>
    </xf>
    <xf numFmtId="176" fontId="1" fillId="0" borderId="133" xfId="4" applyNumberFormat="1" applyFill="1" applyBorder="1" applyAlignment="1" applyProtection="1">
      <alignment vertical="center"/>
    </xf>
    <xf numFmtId="176" fontId="1" fillId="4" borderId="20" xfId="4" applyNumberFormat="1" applyFill="1" applyBorder="1" applyAlignment="1" applyProtection="1">
      <alignment vertical="center"/>
    </xf>
    <xf numFmtId="176" fontId="1" fillId="4" borderId="55" xfId="4" applyNumberFormat="1" applyFill="1" applyBorder="1" applyAlignment="1" applyProtection="1">
      <alignment vertical="center"/>
    </xf>
    <xf numFmtId="176" fontId="1" fillId="4" borderId="105" xfId="4" applyNumberFormat="1" applyFill="1" applyBorder="1" applyAlignment="1" applyProtection="1">
      <alignment vertical="center"/>
    </xf>
    <xf numFmtId="176" fontId="1" fillId="12" borderId="20" xfId="4" applyNumberFormat="1" applyFill="1" applyBorder="1" applyAlignment="1" applyProtection="1">
      <alignment vertical="center"/>
    </xf>
    <xf numFmtId="176" fontId="1" fillId="12" borderId="55" xfId="4" applyNumberFormat="1" applyFill="1" applyBorder="1" applyAlignment="1" applyProtection="1">
      <alignment vertical="center"/>
    </xf>
    <xf numFmtId="176" fontId="1" fillId="0" borderId="134" xfId="4" applyNumberFormat="1" applyFill="1" applyBorder="1" applyAlignment="1" applyProtection="1">
      <alignment vertical="center"/>
    </xf>
    <xf numFmtId="176" fontId="1" fillId="4" borderId="10" xfId="4" applyNumberFormat="1" applyFill="1" applyBorder="1" applyAlignment="1" applyProtection="1">
      <alignment vertical="center"/>
    </xf>
    <xf numFmtId="176" fontId="1" fillId="4" borderId="90" xfId="4" applyNumberFormat="1" applyFill="1" applyBorder="1" applyAlignment="1" applyProtection="1">
      <alignment vertical="center"/>
    </xf>
    <xf numFmtId="176" fontId="1" fillId="4" borderId="135" xfId="4" applyNumberFormat="1" applyFill="1" applyBorder="1" applyAlignment="1" applyProtection="1">
      <alignment vertical="center"/>
    </xf>
    <xf numFmtId="176" fontId="1" fillId="4" borderId="136" xfId="4" applyNumberFormat="1" applyFill="1" applyBorder="1" applyAlignment="1" applyProtection="1">
      <alignment vertical="center"/>
    </xf>
    <xf numFmtId="176" fontId="1" fillId="4" borderId="137" xfId="4" applyNumberFormat="1" applyFill="1" applyBorder="1" applyAlignment="1" applyProtection="1">
      <alignment vertical="center"/>
    </xf>
    <xf numFmtId="176" fontId="1" fillId="4" borderId="138" xfId="4" applyNumberFormat="1" applyFill="1" applyBorder="1" applyAlignment="1" applyProtection="1">
      <alignment vertical="center"/>
    </xf>
    <xf numFmtId="176" fontId="1" fillId="0" borderId="139" xfId="4" applyNumberFormat="1" applyFill="1" applyBorder="1" applyAlignment="1" applyProtection="1">
      <alignment vertical="center"/>
    </xf>
    <xf numFmtId="176" fontId="1" fillId="0" borderId="135" xfId="4" applyNumberFormat="1" applyFill="1" applyBorder="1" applyAlignment="1" applyProtection="1">
      <alignment vertical="center"/>
    </xf>
    <xf numFmtId="176" fontId="1" fillId="0" borderId="140" xfId="4" applyNumberFormat="1" applyFill="1" applyBorder="1" applyAlignment="1" applyProtection="1">
      <alignment vertical="center"/>
    </xf>
    <xf numFmtId="176" fontId="1" fillId="0" borderId="141" xfId="4" applyNumberFormat="1" applyFill="1" applyBorder="1" applyAlignment="1" applyProtection="1">
      <alignment vertical="center"/>
    </xf>
    <xf numFmtId="176" fontId="1" fillId="0" borderId="90" xfId="4" applyNumberFormat="1" applyFill="1" applyBorder="1" applyAlignment="1" applyProtection="1">
      <alignment vertical="center"/>
    </xf>
    <xf numFmtId="176" fontId="1" fillId="0" borderId="142" xfId="4" applyNumberFormat="1" applyFont="1" applyFill="1" applyBorder="1" applyAlignment="1" applyProtection="1">
      <alignment vertical="center"/>
    </xf>
    <xf numFmtId="176" fontId="1" fillId="0" borderId="143" xfId="4" applyNumberFormat="1" applyFill="1" applyBorder="1" applyAlignment="1" applyProtection="1">
      <alignment vertical="center"/>
    </xf>
    <xf numFmtId="176" fontId="1" fillId="0" borderId="144" xfId="4" applyNumberFormat="1" applyFill="1" applyBorder="1" applyAlignment="1" applyProtection="1">
      <alignment vertical="center"/>
    </xf>
    <xf numFmtId="176" fontId="1" fillId="0" borderId="142" xfId="4" applyNumberFormat="1" applyFill="1" applyBorder="1" applyAlignment="1" applyProtection="1">
      <alignment vertical="center"/>
    </xf>
    <xf numFmtId="176" fontId="1" fillId="0" borderId="145" xfId="4" applyNumberFormat="1" applyFill="1" applyBorder="1" applyAlignment="1" applyProtection="1">
      <alignment vertical="center"/>
    </xf>
    <xf numFmtId="176" fontId="1" fillId="0" borderId="0" xfId="4" applyNumberFormat="1" applyFont="1" applyFill="1" applyBorder="1" applyAlignment="1" applyProtection="1">
      <alignment vertical="center" shrinkToFit="1"/>
    </xf>
    <xf numFmtId="176" fontId="1" fillId="0" borderId="146" xfId="4" applyNumberFormat="1" applyFill="1" applyBorder="1" applyAlignment="1" applyProtection="1">
      <alignment vertical="center"/>
    </xf>
    <xf numFmtId="176" fontId="1" fillId="0" borderId="147" xfId="4" applyNumberFormat="1" applyFill="1" applyBorder="1" applyAlignment="1" applyProtection="1">
      <alignment vertical="center"/>
    </xf>
    <xf numFmtId="176" fontId="3" fillId="0" borderId="0" xfId="4" applyNumberFormat="1" applyFont="1" applyFill="1" applyBorder="1" applyAlignment="1" applyProtection="1">
      <alignment vertical="center"/>
    </xf>
    <xf numFmtId="176" fontId="1" fillId="0" borderId="23" xfId="4" applyNumberFormat="1" applyFont="1" applyFill="1" applyBorder="1" applyAlignment="1" applyProtection="1">
      <alignment vertical="center"/>
    </xf>
    <xf numFmtId="176" fontId="1" fillId="0" borderId="22" xfId="4" applyNumberFormat="1" applyFill="1" applyBorder="1" applyAlignment="1" applyProtection="1">
      <alignment vertical="center"/>
    </xf>
    <xf numFmtId="176" fontId="1" fillId="0" borderId="22" xfId="4" applyNumberFormat="1" applyFont="1" applyFill="1" applyBorder="1" applyAlignment="1" applyProtection="1">
      <alignment vertical="center" shrinkToFit="1"/>
    </xf>
    <xf numFmtId="176" fontId="1" fillId="0" borderId="4" xfId="4" applyNumberFormat="1" applyFont="1" applyFill="1" applyBorder="1" applyAlignment="1" applyProtection="1">
      <alignment vertical="center"/>
    </xf>
    <xf numFmtId="176" fontId="1" fillId="0" borderId="24" xfId="4" applyNumberFormat="1" applyFill="1" applyBorder="1" applyAlignment="1" applyProtection="1">
      <alignment vertical="center"/>
    </xf>
    <xf numFmtId="176" fontId="1" fillId="0" borderId="1" xfId="4" applyNumberFormat="1" applyFill="1" applyBorder="1" applyAlignment="1" applyProtection="1">
      <alignment vertical="center"/>
    </xf>
    <xf numFmtId="176" fontId="1" fillId="0" borderId="1" xfId="4" applyNumberFormat="1" applyFont="1" applyFill="1" applyBorder="1" applyAlignment="1" applyProtection="1">
      <alignment vertical="center" shrinkToFit="1"/>
    </xf>
    <xf numFmtId="176" fontId="1" fillId="0" borderId="148" xfId="4" applyNumberFormat="1" applyFill="1" applyBorder="1" applyAlignment="1" applyProtection="1">
      <alignment vertical="center"/>
    </xf>
    <xf numFmtId="176" fontId="1" fillId="0" borderId="149" xfId="4" applyNumberFormat="1" applyFill="1" applyBorder="1" applyAlignment="1" applyProtection="1">
      <alignment vertical="center"/>
    </xf>
    <xf numFmtId="176" fontId="1" fillId="0" borderId="61" xfId="4" applyNumberFormat="1" applyFill="1" applyBorder="1" applyAlignment="1" applyProtection="1">
      <alignment vertical="center"/>
    </xf>
    <xf numFmtId="176" fontId="1" fillId="0" borderId="93" xfId="4" applyNumberFormat="1" applyFill="1" applyBorder="1" applyAlignment="1" applyProtection="1">
      <alignment vertical="center"/>
    </xf>
    <xf numFmtId="176" fontId="1" fillId="4" borderId="57" xfId="4" applyNumberFormat="1" applyFont="1" applyFill="1" applyBorder="1" applyAlignment="1" applyProtection="1">
      <alignment vertical="center"/>
    </xf>
    <xf numFmtId="176" fontId="1" fillId="4" borderId="150" xfId="4" applyNumberFormat="1" applyFill="1" applyBorder="1" applyAlignment="1" applyProtection="1">
      <alignment vertical="center"/>
    </xf>
    <xf numFmtId="176" fontId="1" fillId="0" borderId="151" xfId="4" applyNumberFormat="1" applyFill="1" applyBorder="1" applyAlignment="1" applyProtection="1">
      <alignment vertical="center"/>
    </xf>
    <xf numFmtId="176" fontId="1" fillId="0" borderId="152" xfId="4" applyNumberFormat="1" applyFill="1" applyBorder="1" applyAlignment="1" applyProtection="1">
      <alignment vertical="center"/>
    </xf>
    <xf numFmtId="176" fontId="1" fillId="0" borderId="135" xfId="4" applyNumberFormat="1" applyFont="1" applyFill="1" applyBorder="1" applyAlignment="1" applyProtection="1">
      <alignment horizontal="center" vertical="center"/>
    </xf>
    <xf numFmtId="176" fontId="1" fillId="0" borderId="138" xfId="4" applyNumberFormat="1" applyFill="1" applyBorder="1" applyAlignment="1" applyProtection="1">
      <alignment vertical="center"/>
    </xf>
    <xf numFmtId="176" fontId="1" fillId="0" borderId="153" xfId="4" applyNumberFormat="1" applyFill="1" applyBorder="1" applyAlignment="1" applyProtection="1">
      <alignment vertical="center"/>
    </xf>
    <xf numFmtId="176" fontId="8" fillId="0" borderId="154" xfId="4" applyNumberFormat="1" applyFont="1" applyFill="1" applyBorder="1" applyAlignment="1" applyProtection="1">
      <alignment vertical="center"/>
    </xf>
    <xf numFmtId="176" fontId="14" fillId="0" borderId="22" xfId="4" applyNumberFormat="1" applyFont="1" applyFill="1" applyBorder="1" applyAlignment="1">
      <alignment vertical="center"/>
    </xf>
    <xf numFmtId="176" fontId="14" fillId="0" borderId="155" xfId="4" applyNumberFormat="1" applyFont="1" applyFill="1" applyBorder="1" applyAlignment="1">
      <alignment vertical="center"/>
    </xf>
    <xf numFmtId="176" fontId="0" fillId="0" borderId="38" xfId="4" applyNumberFormat="1" applyFont="1" applyFill="1" applyBorder="1" applyAlignment="1">
      <alignment vertical="center"/>
    </xf>
    <xf numFmtId="176" fontId="12" fillId="0" borderId="2" xfId="4" applyNumberFormat="1" applyFont="1" applyFill="1" applyBorder="1" applyAlignment="1">
      <alignment vertical="center" shrinkToFit="1"/>
    </xf>
    <xf numFmtId="176" fontId="0" fillId="0" borderId="1" xfId="4" applyNumberFormat="1" applyFont="1" applyFill="1" applyBorder="1" applyAlignment="1">
      <alignment vertical="center" shrinkToFit="1"/>
    </xf>
    <xf numFmtId="176" fontId="0" fillId="0" borderId="17" xfId="4" applyNumberFormat="1" applyFont="1" applyFill="1" applyBorder="1" applyAlignment="1">
      <alignment vertical="center" shrinkToFit="1"/>
    </xf>
    <xf numFmtId="176" fontId="12" fillId="0" borderId="74" xfId="4" applyNumberFormat="1" applyFont="1" applyFill="1" applyBorder="1" applyAlignment="1">
      <alignment vertical="center" shrinkToFit="1"/>
    </xf>
    <xf numFmtId="176" fontId="4" fillId="0" borderId="22" xfId="4" applyNumberFormat="1" applyFont="1" applyFill="1" applyBorder="1" applyAlignment="1">
      <alignment horizontal="right" vertical="center" shrinkToFit="1"/>
    </xf>
    <xf numFmtId="176" fontId="4" fillId="0" borderId="22" xfId="4" applyNumberFormat="1" applyFont="1" applyFill="1" applyBorder="1" applyAlignment="1">
      <alignment vertical="center"/>
    </xf>
    <xf numFmtId="177" fontId="12" fillId="0" borderId="25" xfId="1" applyNumberFormat="1" applyFont="1" applyFill="1" applyBorder="1" applyAlignment="1">
      <alignment vertical="center"/>
    </xf>
    <xf numFmtId="176" fontId="1" fillId="5" borderId="12" xfId="4" applyNumberFormat="1" applyFill="1" applyBorder="1" applyAlignment="1" applyProtection="1">
      <alignment vertical="center"/>
      <protection locked="0"/>
    </xf>
    <xf numFmtId="176" fontId="28" fillId="0" borderId="0" xfId="4" applyNumberFormat="1" applyFont="1" applyFill="1" applyBorder="1" applyAlignment="1">
      <alignment vertical="center"/>
    </xf>
    <xf numFmtId="176" fontId="1" fillId="13" borderId="156" xfId="4" applyNumberFormat="1" applyFill="1" applyBorder="1" applyAlignment="1" applyProtection="1">
      <alignment vertical="center"/>
    </xf>
    <xf numFmtId="176" fontId="1" fillId="13" borderId="100" xfId="4" applyNumberFormat="1" applyFill="1" applyBorder="1" applyAlignment="1" applyProtection="1">
      <alignment vertical="center"/>
    </xf>
    <xf numFmtId="176" fontId="1" fillId="13" borderId="103" xfId="4" applyNumberFormat="1" applyFill="1" applyBorder="1" applyAlignment="1" applyProtection="1">
      <alignment vertical="center"/>
    </xf>
    <xf numFmtId="176" fontId="1" fillId="13" borderId="104" xfId="4" applyNumberFormat="1" applyFill="1" applyBorder="1" applyAlignment="1" applyProtection="1">
      <alignment vertical="center"/>
    </xf>
    <xf numFmtId="176" fontId="1" fillId="13" borderId="54" xfId="4" applyNumberFormat="1" applyFill="1" applyBorder="1" applyAlignment="1" applyProtection="1">
      <alignment vertical="center"/>
    </xf>
    <xf numFmtId="176" fontId="1" fillId="13" borderId="107" xfId="4" applyNumberFormat="1" applyFill="1" applyBorder="1" applyAlignment="1" applyProtection="1">
      <alignment vertical="center"/>
    </xf>
    <xf numFmtId="176" fontId="1" fillId="13" borderId="108" xfId="4" applyNumberFormat="1" applyFill="1" applyBorder="1" applyAlignment="1" applyProtection="1">
      <alignment vertical="center"/>
    </xf>
    <xf numFmtId="176" fontId="1" fillId="13" borderId="111" xfId="4" applyNumberFormat="1" applyFill="1" applyBorder="1" applyAlignment="1" applyProtection="1">
      <alignment vertical="center"/>
    </xf>
    <xf numFmtId="176" fontId="1" fillId="13" borderId="96" xfId="4" applyNumberFormat="1" applyFill="1" applyBorder="1" applyAlignment="1" applyProtection="1">
      <alignment vertical="center"/>
    </xf>
    <xf numFmtId="176" fontId="1" fillId="13" borderId="115" xfId="4" applyNumberFormat="1" applyFill="1" applyBorder="1" applyAlignment="1" applyProtection="1">
      <alignment vertical="center"/>
    </xf>
    <xf numFmtId="176" fontId="1" fillId="13" borderId="116" xfId="4" applyNumberFormat="1" applyFill="1" applyBorder="1" applyAlignment="1" applyProtection="1">
      <alignment vertical="center"/>
    </xf>
    <xf numFmtId="176" fontId="1" fillId="13" borderId="6" xfId="4" applyNumberFormat="1" applyFont="1" applyFill="1" applyBorder="1" applyAlignment="1" applyProtection="1">
      <alignment vertical="center"/>
    </xf>
    <xf numFmtId="176" fontId="1" fillId="13" borderId="12" xfId="4" applyNumberFormat="1" applyFont="1" applyFill="1" applyBorder="1" applyAlignment="1" applyProtection="1">
      <alignment vertical="center"/>
    </xf>
    <xf numFmtId="176" fontId="1" fillId="13" borderId="6" xfId="4" applyNumberFormat="1" applyFill="1" applyBorder="1" applyAlignment="1" applyProtection="1">
      <alignment vertical="center"/>
    </xf>
    <xf numFmtId="176" fontId="1" fillId="13" borderId="7" xfId="4" applyNumberFormat="1" applyFill="1" applyBorder="1" applyAlignment="1" applyProtection="1">
      <alignment vertical="center"/>
    </xf>
    <xf numFmtId="176" fontId="1" fillId="13" borderId="18" xfId="4" applyNumberFormat="1" applyFill="1" applyBorder="1" applyAlignment="1" applyProtection="1">
      <alignment vertical="center"/>
    </xf>
    <xf numFmtId="176" fontId="1" fillId="13" borderId="8" xfId="4" applyNumberFormat="1" applyFill="1" applyBorder="1" applyAlignment="1" applyProtection="1">
      <alignment vertical="center"/>
    </xf>
    <xf numFmtId="176" fontId="1" fillId="13" borderId="2" xfId="4" applyNumberFormat="1" applyFill="1" applyBorder="1" applyAlignment="1" applyProtection="1">
      <alignment vertical="center"/>
    </xf>
    <xf numFmtId="176" fontId="1" fillId="13" borderId="5" xfId="4" applyNumberFormat="1" applyFill="1" applyBorder="1" applyAlignment="1" applyProtection="1">
      <alignment vertical="center"/>
    </xf>
    <xf numFmtId="176" fontId="1" fillId="13" borderId="11" xfId="4" applyNumberFormat="1" applyFont="1" applyFill="1" applyBorder="1" applyAlignment="1" applyProtection="1">
      <alignment vertical="center"/>
    </xf>
    <xf numFmtId="176" fontId="1" fillId="13" borderId="12" xfId="4" applyNumberFormat="1" applyFill="1" applyBorder="1" applyAlignment="1" applyProtection="1">
      <alignment vertical="center"/>
    </xf>
    <xf numFmtId="176" fontId="1" fillId="13" borderId="8" xfId="4" applyNumberFormat="1" applyFont="1" applyFill="1" applyBorder="1" applyAlignment="1" applyProtection="1">
      <alignment vertical="center"/>
    </xf>
    <xf numFmtId="176" fontId="1" fillId="13" borderId="2" xfId="4" applyNumberFormat="1" applyFont="1" applyFill="1" applyBorder="1" applyAlignment="1" applyProtection="1">
      <alignment vertical="center"/>
    </xf>
    <xf numFmtId="176" fontId="4" fillId="13" borderId="11" xfId="4" applyNumberFormat="1" applyFont="1" applyFill="1" applyBorder="1" applyAlignment="1" applyProtection="1">
      <alignment vertical="center"/>
    </xf>
    <xf numFmtId="176" fontId="1" fillId="13" borderId="18" xfId="4" applyNumberFormat="1" applyFont="1" applyFill="1" applyBorder="1" applyAlignment="1" applyProtection="1">
      <alignment vertical="center"/>
    </xf>
    <xf numFmtId="176" fontId="1" fillId="13" borderId="118" xfId="4" applyNumberFormat="1" applyFill="1" applyBorder="1" applyAlignment="1" applyProtection="1">
      <alignment vertical="center"/>
    </xf>
    <xf numFmtId="176" fontId="1" fillId="13" borderId="119" xfId="4" applyNumberFormat="1" applyFill="1" applyBorder="1" applyAlignment="1" applyProtection="1">
      <alignment vertical="center"/>
    </xf>
    <xf numFmtId="176" fontId="1" fillId="13" borderId="120" xfId="4" applyNumberFormat="1" applyFill="1" applyBorder="1" applyAlignment="1" applyProtection="1">
      <alignment vertical="center"/>
    </xf>
    <xf numFmtId="176" fontId="1" fillId="13" borderId="122" xfId="4" applyNumberFormat="1" applyFill="1" applyBorder="1" applyAlignment="1" applyProtection="1">
      <alignment vertical="center"/>
    </xf>
    <xf numFmtId="176" fontId="1" fillId="13" borderId="123" xfId="4" applyNumberFormat="1" applyFill="1" applyBorder="1" applyAlignment="1" applyProtection="1">
      <alignment vertical="center"/>
    </xf>
    <xf numFmtId="176" fontId="1" fillId="13" borderId="157" xfId="4" applyNumberFormat="1" applyFill="1" applyBorder="1" applyAlignment="1" applyProtection="1">
      <alignment vertical="center"/>
    </xf>
    <xf numFmtId="176" fontId="1" fillId="13" borderId="158" xfId="4" applyNumberFormat="1" applyFill="1" applyBorder="1" applyAlignment="1" applyProtection="1">
      <alignment vertical="center"/>
    </xf>
    <xf numFmtId="176" fontId="1" fillId="13" borderId="9" xfId="4" applyNumberFormat="1" applyFill="1" applyBorder="1" applyAlignment="1" applyProtection="1">
      <alignment vertical="center"/>
    </xf>
    <xf numFmtId="176" fontId="1" fillId="13" borderId="13" xfId="4" applyNumberFormat="1" applyFill="1" applyBorder="1" applyAlignment="1" applyProtection="1">
      <alignment vertical="center"/>
    </xf>
    <xf numFmtId="176" fontId="1" fillId="13" borderId="11" xfId="4" applyNumberFormat="1" applyFill="1" applyBorder="1" applyAlignment="1" applyProtection="1">
      <alignment vertical="center"/>
    </xf>
    <xf numFmtId="176" fontId="1" fillId="13" borderId="10" xfId="4" applyNumberFormat="1" applyFill="1" applyBorder="1" applyAlignment="1" applyProtection="1">
      <alignment vertical="center"/>
    </xf>
    <xf numFmtId="176" fontId="1" fillId="13" borderId="4" xfId="4" applyNumberFormat="1" applyFill="1" applyBorder="1" applyAlignment="1" applyProtection="1">
      <alignment vertical="center"/>
    </xf>
    <xf numFmtId="176" fontId="1" fillId="13" borderId="56" xfId="4" applyNumberFormat="1" applyFill="1" applyBorder="1" applyAlignment="1" applyProtection="1">
      <alignment vertical="center"/>
    </xf>
    <xf numFmtId="176" fontId="1" fillId="13" borderId="25" xfId="4" applyNumberFormat="1" applyFill="1" applyBorder="1" applyAlignment="1" applyProtection="1">
      <alignment vertical="center"/>
    </xf>
    <xf numFmtId="176" fontId="1" fillId="13" borderId="132" xfId="4" applyNumberFormat="1" applyFill="1" applyBorder="1" applyAlignment="1" applyProtection="1">
      <alignment vertical="center"/>
    </xf>
    <xf numFmtId="176" fontId="1" fillId="13" borderId="78" xfId="4" applyNumberFormat="1" applyFill="1" applyBorder="1" applyAlignment="1" applyProtection="1">
      <alignment vertical="center"/>
    </xf>
    <xf numFmtId="176" fontId="1" fillId="13" borderId="137" xfId="4" applyNumberFormat="1" applyFill="1" applyBorder="1" applyAlignment="1" applyProtection="1">
      <alignment vertical="center"/>
    </xf>
    <xf numFmtId="176" fontId="1" fillId="13" borderId="90" xfId="4" applyNumberFormat="1" applyFill="1" applyBorder="1" applyAlignment="1" applyProtection="1">
      <alignment vertical="center"/>
    </xf>
    <xf numFmtId="176" fontId="1" fillId="13" borderId="159" xfId="4" applyNumberFormat="1" applyFill="1" applyBorder="1" applyAlignment="1" applyProtection="1">
      <alignment vertical="center"/>
    </xf>
    <xf numFmtId="176" fontId="1" fillId="13" borderId="160" xfId="4" applyNumberFormat="1" applyFill="1" applyBorder="1" applyAlignment="1" applyProtection="1">
      <alignment vertical="center"/>
    </xf>
    <xf numFmtId="176" fontId="1" fillId="13" borderId="141" xfId="4" applyNumberFormat="1" applyFill="1" applyBorder="1" applyAlignment="1" applyProtection="1">
      <alignment vertical="center"/>
    </xf>
    <xf numFmtId="176" fontId="1" fillId="13" borderId="140" xfId="4" applyNumberFormat="1" applyFill="1" applyBorder="1" applyAlignment="1" applyProtection="1">
      <alignment vertical="center"/>
    </xf>
    <xf numFmtId="176" fontId="1" fillId="13" borderId="161" xfId="4" applyNumberFormat="1" applyFill="1" applyBorder="1" applyAlignment="1" applyProtection="1">
      <alignment vertical="center"/>
    </xf>
    <xf numFmtId="176" fontId="1" fillId="13" borderId="162" xfId="4" applyNumberFormat="1" applyFill="1" applyBorder="1" applyAlignment="1" applyProtection="1">
      <alignment vertical="center"/>
    </xf>
    <xf numFmtId="176" fontId="1" fillId="13" borderId="146" xfId="4" applyNumberFormat="1" applyFill="1" applyBorder="1" applyAlignment="1" applyProtection="1">
      <alignment vertical="center"/>
    </xf>
    <xf numFmtId="176" fontId="1" fillId="13" borderId="163" xfId="4" applyNumberFormat="1" applyFill="1" applyBorder="1" applyAlignment="1" applyProtection="1">
      <alignment vertical="center"/>
    </xf>
    <xf numFmtId="176" fontId="1" fillId="13" borderId="164" xfId="4" applyNumberFormat="1" applyFill="1" applyBorder="1" applyAlignment="1" applyProtection="1">
      <alignment vertical="center"/>
    </xf>
    <xf numFmtId="176" fontId="1" fillId="13" borderId="145" xfId="4" applyNumberFormat="1" applyFill="1" applyBorder="1" applyAlignment="1" applyProtection="1">
      <alignment vertical="center"/>
    </xf>
    <xf numFmtId="176" fontId="1" fillId="13" borderId="165" xfId="4" applyNumberFormat="1" applyFill="1" applyBorder="1" applyAlignment="1" applyProtection="1">
      <alignment vertical="center"/>
    </xf>
    <xf numFmtId="176" fontId="1" fillId="13" borderId="93" xfId="4" applyNumberFormat="1" applyFill="1" applyBorder="1" applyAlignment="1" applyProtection="1">
      <alignment vertical="center"/>
    </xf>
    <xf numFmtId="176" fontId="1" fillId="13" borderId="166" xfId="4" applyNumberFormat="1" applyFill="1" applyBorder="1" applyAlignment="1" applyProtection="1">
      <alignment vertical="center"/>
    </xf>
    <xf numFmtId="176" fontId="1" fillId="13" borderId="65" xfId="4" applyNumberFormat="1" applyFill="1" applyBorder="1" applyAlignment="1" applyProtection="1">
      <alignment vertical="center"/>
    </xf>
    <xf numFmtId="176" fontId="12" fillId="0" borderId="118" xfId="4" applyNumberFormat="1" applyFont="1" applyFill="1" applyBorder="1" applyAlignment="1" applyProtection="1">
      <alignment horizontal="center" vertical="center"/>
    </xf>
    <xf numFmtId="176" fontId="12" fillId="0" borderId="100" xfId="4" applyNumberFormat="1" applyFont="1" applyFill="1" applyBorder="1" applyAlignment="1" applyProtection="1">
      <alignment horizontal="center" vertical="center"/>
    </xf>
    <xf numFmtId="176" fontId="1" fillId="0" borderId="9" xfId="4" applyNumberFormat="1" applyFont="1" applyFill="1" applyBorder="1" applyAlignment="1" applyProtection="1">
      <alignment vertical="center"/>
    </xf>
    <xf numFmtId="176" fontId="12" fillId="0" borderId="122" xfId="4" applyNumberFormat="1" applyFont="1" applyFill="1" applyBorder="1" applyAlignment="1" applyProtection="1">
      <alignment horizontal="center" vertical="center"/>
    </xf>
    <xf numFmtId="176" fontId="12" fillId="0" borderId="96" xfId="4" applyNumberFormat="1" applyFont="1" applyFill="1" applyBorder="1" applyAlignment="1" applyProtection="1">
      <alignment horizontal="center" vertical="center"/>
    </xf>
    <xf numFmtId="176" fontId="12" fillId="0" borderId="123" xfId="4" applyNumberFormat="1" applyFont="1" applyFill="1" applyBorder="1" applyAlignment="1" applyProtection="1">
      <alignment horizontal="center" vertical="center"/>
    </xf>
    <xf numFmtId="176" fontId="12" fillId="0" borderId="116" xfId="4" applyNumberFormat="1" applyFont="1" applyFill="1" applyBorder="1" applyAlignment="1" applyProtection="1">
      <alignment horizontal="center" vertical="center"/>
    </xf>
    <xf numFmtId="176" fontId="12" fillId="0" borderId="119" xfId="4" applyNumberFormat="1" applyFont="1" applyFill="1" applyBorder="1" applyAlignment="1" applyProtection="1">
      <alignment horizontal="center" vertical="center"/>
    </xf>
    <xf numFmtId="176" fontId="12" fillId="0" borderId="104" xfId="4" applyNumberFormat="1" applyFont="1" applyFill="1" applyBorder="1" applyAlignment="1" applyProtection="1">
      <alignment horizontal="center" vertical="center"/>
    </xf>
    <xf numFmtId="176" fontId="1" fillId="0" borderId="156" xfId="4" applyNumberFormat="1" applyFill="1" applyBorder="1" applyAlignment="1" applyProtection="1">
      <alignment horizontal="center" vertical="center"/>
    </xf>
    <xf numFmtId="176" fontId="1" fillId="0" borderId="100" xfId="4" applyNumberFormat="1" applyFill="1" applyBorder="1" applyAlignment="1" applyProtection="1">
      <alignment horizontal="center" vertical="center"/>
    </xf>
    <xf numFmtId="176" fontId="1" fillId="0" borderId="103" xfId="4" applyNumberFormat="1" applyFill="1" applyBorder="1" applyAlignment="1" applyProtection="1">
      <alignment horizontal="center" vertical="center"/>
    </xf>
    <xf numFmtId="176" fontId="1" fillId="0" borderId="104" xfId="4" applyNumberFormat="1" applyFill="1" applyBorder="1" applyAlignment="1" applyProtection="1">
      <alignment horizontal="center" vertical="center"/>
    </xf>
    <xf numFmtId="176" fontId="1" fillId="0" borderId="107" xfId="4" applyNumberFormat="1" applyFill="1" applyBorder="1" applyAlignment="1" applyProtection="1">
      <alignment horizontal="center" vertical="center"/>
    </xf>
    <xf numFmtId="176" fontId="1" fillId="0" borderId="108" xfId="4" applyNumberFormat="1" applyFill="1" applyBorder="1" applyAlignment="1" applyProtection="1">
      <alignment horizontal="center" vertical="center"/>
    </xf>
    <xf numFmtId="176" fontId="1" fillId="0" borderId="95" xfId="4" applyNumberFormat="1" applyFill="1" applyBorder="1" applyAlignment="1" applyProtection="1">
      <alignment vertical="center"/>
    </xf>
    <xf numFmtId="176" fontId="1" fillId="0" borderId="167" xfId="4" applyNumberFormat="1" applyFill="1" applyBorder="1" applyAlignment="1" applyProtection="1">
      <alignment vertical="center"/>
    </xf>
    <xf numFmtId="176" fontId="1" fillId="0" borderId="168" xfId="4" applyNumberFormat="1" applyFill="1" applyBorder="1" applyAlignment="1" applyProtection="1">
      <alignment vertical="center"/>
    </xf>
    <xf numFmtId="176" fontId="12" fillId="0" borderId="169" xfId="4" applyNumberFormat="1" applyFont="1" applyFill="1" applyBorder="1" applyAlignment="1" applyProtection="1">
      <alignment horizontal="center" vertical="center"/>
    </xf>
    <xf numFmtId="176" fontId="12" fillId="0" borderId="158" xfId="4" applyNumberFormat="1" applyFont="1" applyFill="1" applyBorder="1" applyAlignment="1" applyProtection="1">
      <alignment horizontal="center" vertical="center"/>
    </xf>
    <xf numFmtId="176" fontId="1" fillId="0" borderId="122" xfId="4" applyNumberFormat="1" applyFill="1" applyBorder="1" applyAlignment="1" applyProtection="1">
      <alignment horizontal="center" vertical="center"/>
    </xf>
    <xf numFmtId="176" fontId="1" fillId="0" borderId="96" xfId="4" applyNumberFormat="1" applyFill="1" applyBorder="1" applyAlignment="1" applyProtection="1">
      <alignment horizontal="center" vertical="center"/>
    </xf>
    <xf numFmtId="176" fontId="12" fillId="0" borderId="111" xfId="4" applyNumberFormat="1" applyFont="1" applyFill="1" applyBorder="1" applyAlignment="1" applyProtection="1">
      <alignment horizontal="center" vertical="center"/>
    </xf>
    <xf numFmtId="176" fontId="1" fillId="13" borderId="169" xfId="4" applyNumberFormat="1" applyFill="1" applyBorder="1" applyAlignment="1" applyProtection="1">
      <alignment vertical="center"/>
    </xf>
    <xf numFmtId="176" fontId="1" fillId="0" borderId="115" xfId="4" applyNumberFormat="1" applyFill="1" applyBorder="1" applyAlignment="1" applyProtection="1">
      <alignment horizontal="right" vertical="center"/>
    </xf>
    <xf numFmtId="176" fontId="1" fillId="0" borderId="116" xfId="4" applyNumberFormat="1" applyFill="1" applyBorder="1" applyAlignment="1" applyProtection="1">
      <alignment horizontal="right" vertical="center"/>
    </xf>
    <xf numFmtId="176" fontId="1" fillId="0" borderId="103" xfId="4" applyNumberFormat="1" applyFill="1" applyBorder="1" applyAlignment="1" applyProtection="1">
      <alignment horizontal="right" vertical="center"/>
    </xf>
    <xf numFmtId="176" fontId="1" fillId="0" borderId="104" xfId="4" applyNumberFormat="1" applyFill="1" applyBorder="1" applyAlignment="1" applyProtection="1">
      <alignment horizontal="right" vertical="center"/>
    </xf>
    <xf numFmtId="176" fontId="12" fillId="0" borderId="107" xfId="4" applyNumberFormat="1" applyFont="1" applyFill="1" applyBorder="1" applyAlignment="1" applyProtection="1">
      <alignment horizontal="center" vertical="center"/>
    </xf>
    <xf numFmtId="176" fontId="12" fillId="0" borderId="108" xfId="4" applyNumberFormat="1" applyFont="1" applyFill="1" applyBorder="1" applyAlignment="1" applyProtection="1">
      <alignment horizontal="center" vertical="center"/>
    </xf>
    <xf numFmtId="176" fontId="12" fillId="0" borderId="115" xfId="4" applyNumberFormat="1" applyFont="1" applyFill="1" applyBorder="1" applyAlignment="1" applyProtection="1">
      <alignment horizontal="center" vertical="center"/>
    </xf>
    <xf numFmtId="176" fontId="12" fillId="0" borderId="170" xfId="4" applyNumberFormat="1" applyFont="1" applyFill="1" applyBorder="1" applyAlignment="1" applyProtection="1">
      <alignment horizontal="center" vertical="center"/>
    </xf>
    <xf numFmtId="176" fontId="1" fillId="0" borderId="150" xfId="4" applyNumberFormat="1" applyFill="1" applyBorder="1" applyAlignment="1" applyProtection="1">
      <alignment vertical="center"/>
    </xf>
    <xf numFmtId="176" fontId="1" fillId="0" borderId="171" xfId="4" applyNumberFormat="1" applyFill="1" applyBorder="1" applyAlignment="1" applyProtection="1">
      <alignment vertical="center"/>
    </xf>
    <xf numFmtId="176" fontId="12" fillId="5" borderId="80" xfId="4" applyNumberFormat="1" applyFont="1" applyFill="1" applyBorder="1" applyAlignment="1" applyProtection="1">
      <alignment vertical="center"/>
      <protection locked="0"/>
    </xf>
    <xf numFmtId="176" fontId="0" fillId="0" borderId="0" xfId="0" applyNumberFormat="1" applyAlignment="1">
      <alignment vertical="center"/>
    </xf>
    <xf numFmtId="176" fontId="0" fillId="0" borderId="2" xfId="0" applyNumberFormat="1" applyBorder="1" applyAlignment="1">
      <alignment vertical="center"/>
    </xf>
    <xf numFmtId="176" fontId="0" fillId="0" borderId="1" xfId="0" applyNumberFormat="1" applyBorder="1" applyAlignment="1">
      <alignment vertical="center"/>
    </xf>
    <xf numFmtId="177" fontId="12" fillId="0" borderId="96" xfId="4" applyNumberFormat="1" applyFont="1" applyFill="1" applyBorder="1" applyAlignment="1" applyProtection="1">
      <alignment vertical="center" shrinkToFit="1"/>
    </xf>
    <xf numFmtId="176" fontId="0" fillId="0" borderId="13" xfId="0" applyNumberFormat="1" applyBorder="1" applyAlignment="1">
      <alignment vertical="center"/>
    </xf>
    <xf numFmtId="176" fontId="0" fillId="0" borderId="12" xfId="0" applyNumberFormat="1" applyBorder="1" applyAlignment="1">
      <alignment vertical="center"/>
    </xf>
    <xf numFmtId="176" fontId="0" fillId="0" borderId="18" xfId="0" applyNumberFormat="1" applyBorder="1" applyAlignment="1">
      <alignment vertical="center"/>
    </xf>
    <xf numFmtId="176" fontId="0" fillId="0" borderId="174" xfId="4" applyNumberFormat="1" applyFont="1" applyFill="1" applyBorder="1" applyAlignment="1" applyProtection="1">
      <alignment horizontal="right" vertical="center"/>
    </xf>
    <xf numFmtId="176" fontId="0" fillId="0" borderId="11" xfId="0" applyNumberFormat="1" applyBorder="1" applyAlignment="1">
      <alignment horizontal="center" vertical="center" wrapText="1"/>
    </xf>
    <xf numFmtId="177" fontId="0" fillId="0" borderId="12" xfId="0" applyNumberFormat="1" applyBorder="1" applyAlignment="1">
      <alignment vertical="center"/>
    </xf>
    <xf numFmtId="0" fontId="0" fillId="0" borderId="26" xfId="0" applyBorder="1" applyAlignment="1">
      <alignment vertical="center"/>
    </xf>
    <xf numFmtId="176" fontId="0" fillId="0" borderId="4" xfId="0" applyNumberFormat="1" applyBorder="1" applyAlignment="1">
      <alignment vertical="center"/>
    </xf>
    <xf numFmtId="176" fontId="0" fillId="5" borderId="11" xfId="0" applyNumberFormat="1" applyFill="1" applyBorder="1" applyAlignment="1" applyProtection="1">
      <alignment horizontal="center" vertical="center" wrapText="1"/>
      <protection locked="0"/>
    </xf>
    <xf numFmtId="181" fontId="0" fillId="5" borderId="12" xfId="0" applyNumberFormat="1" applyFill="1" applyBorder="1" applyAlignment="1" applyProtection="1">
      <alignment vertical="center"/>
      <protection locked="0"/>
    </xf>
    <xf numFmtId="0" fontId="0" fillId="5" borderId="72" xfId="0" applyFill="1" applyBorder="1" applyAlignment="1" applyProtection="1">
      <alignment vertical="center"/>
      <protection locked="0"/>
    </xf>
    <xf numFmtId="176" fontId="0" fillId="5" borderId="13" xfId="0" applyNumberFormat="1" applyFill="1" applyBorder="1" applyAlignment="1" applyProtection="1">
      <alignment vertical="center"/>
      <protection locked="0"/>
    </xf>
    <xf numFmtId="176" fontId="0" fillId="5" borderId="18" xfId="0" applyNumberFormat="1" applyFill="1" applyBorder="1" applyAlignment="1" applyProtection="1">
      <alignment vertical="center"/>
      <protection locked="0"/>
    </xf>
    <xf numFmtId="177" fontId="12" fillId="0" borderId="52" xfId="4" applyNumberFormat="1" applyFont="1" applyFill="1" applyBorder="1" applyAlignment="1" applyProtection="1">
      <alignment vertical="center" shrinkToFit="1"/>
    </xf>
    <xf numFmtId="177" fontId="12" fillId="0" borderId="58" xfId="4" applyNumberFormat="1" applyFont="1" applyFill="1" applyBorder="1" applyAlignment="1" applyProtection="1">
      <alignment vertical="center" shrinkToFit="1"/>
    </xf>
    <xf numFmtId="177" fontId="12" fillId="0" borderId="54" xfId="4" applyNumberFormat="1" applyFont="1" applyFill="1" applyBorder="1" applyAlignment="1" applyProtection="1">
      <alignment vertical="center" shrinkToFit="1"/>
    </xf>
    <xf numFmtId="177" fontId="12" fillId="0" borderId="55" xfId="4" applyNumberFormat="1" applyFont="1" applyFill="1" applyBorder="1" applyAlignment="1" applyProtection="1">
      <alignment vertical="center" shrinkToFit="1"/>
    </xf>
    <xf numFmtId="177" fontId="12" fillId="0" borderId="24" xfId="4" applyNumberFormat="1" applyFont="1" applyFill="1" applyBorder="1" applyAlignment="1" applyProtection="1">
      <alignment vertical="center" shrinkToFit="1"/>
    </xf>
    <xf numFmtId="177" fontId="12" fillId="0" borderId="57" xfId="4" applyNumberFormat="1" applyFont="1" applyFill="1" applyBorder="1" applyAlignment="1" applyProtection="1">
      <alignment vertical="center" shrinkToFit="1"/>
    </xf>
    <xf numFmtId="177" fontId="12" fillId="0" borderId="2" xfId="4" applyNumberFormat="1" applyFont="1" applyFill="1" applyBorder="1" applyAlignment="1" applyProtection="1">
      <alignment vertical="center" shrinkToFit="1"/>
    </xf>
    <xf numFmtId="177" fontId="12" fillId="0" borderId="13" xfId="4" applyNumberFormat="1" applyFont="1" applyFill="1" applyBorder="1" applyAlignment="1" applyProtection="1">
      <alignment vertical="center" shrinkToFit="1"/>
    </xf>
    <xf numFmtId="177" fontId="12" fillId="0" borderId="12" xfId="4" applyNumberFormat="1" applyFont="1" applyFill="1" applyBorder="1" applyAlignment="1" applyProtection="1">
      <alignment vertical="center" shrinkToFit="1"/>
    </xf>
    <xf numFmtId="177" fontId="12" fillId="0" borderId="18" xfId="4" applyNumberFormat="1" applyFont="1" applyFill="1" applyBorder="1" applyAlignment="1" applyProtection="1">
      <alignment vertical="center" shrinkToFit="1"/>
    </xf>
    <xf numFmtId="177" fontId="12" fillId="0" borderId="21" xfId="4" applyNumberFormat="1" applyFont="1" applyFill="1" applyBorder="1" applyAlignment="1" applyProtection="1">
      <alignment vertical="center" shrinkToFit="1"/>
    </xf>
    <xf numFmtId="177" fontId="12" fillId="0" borderId="4" xfId="4" applyNumberFormat="1" applyFont="1" applyFill="1" applyBorder="1" applyAlignment="1" applyProtection="1">
      <alignment vertical="center" shrinkToFit="1"/>
    </xf>
    <xf numFmtId="177" fontId="12" fillId="0" borderId="25" xfId="4" applyNumberFormat="1" applyFont="1" applyFill="1" applyBorder="1" applyAlignment="1" applyProtection="1">
      <alignment vertical="center" shrinkToFit="1"/>
    </xf>
    <xf numFmtId="176" fontId="0" fillId="5" borderId="123" xfId="0" applyNumberFormat="1" applyFill="1" applyBorder="1" applyAlignment="1" applyProtection="1">
      <alignment horizontal="center" vertical="center" wrapText="1"/>
      <protection locked="0"/>
    </xf>
    <xf numFmtId="181" fontId="0" fillId="5" borderId="119" xfId="0" applyNumberFormat="1" applyFill="1" applyBorder="1" applyAlignment="1" applyProtection="1">
      <alignment vertical="center"/>
      <protection locked="0"/>
    </xf>
    <xf numFmtId="0" fontId="0" fillId="5" borderId="177" xfId="0" applyFill="1" applyBorder="1" applyAlignment="1" applyProtection="1">
      <alignment vertical="center"/>
      <protection locked="0"/>
    </xf>
    <xf numFmtId="176" fontId="0" fillId="0" borderId="122" xfId="0" applyNumberFormat="1" applyBorder="1" applyAlignment="1">
      <alignment vertical="center"/>
    </xf>
    <xf numFmtId="177" fontId="12" fillId="0" borderId="100" xfId="4" applyNumberFormat="1" applyFont="1" applyFill="1" applyBorder="1" applyAlignment="1" applyProtection="1">
      <alignment vertical="center" shrinkToFit="1"/>
    </xf>
    <xf numFmtId="176" fontId="0" fillId="0" borderId="119" xfId="0" applyNumberFormat="1" applyBorder="1" applyAlignment="1">
      <alignment vertical="center"/>
    </xf>
    <xf numFmtId="177" fontId="12" fillId="0" borderId="104" xfId="4" applyNumberFormat="1" applyFont="1" applyFill="1" applyBorder="1" applyAlignment="1" applyProtection="1">
      <alignment vertical="center" shrinkToFit="1"/>
    </xf>
    <xf numFmtId="176" fontId="0" fillId="0" borderId="120" xfId="0" applyNumberFormat="1" applyBorder="1" applyAlignment="1">
      <alignment vertical="center"/>
    </xf>
    <xf numFmtId="177" fontId="12" fillId="0" borderId="108" xfId="4" applyNumberFormat="1" applyFont="1" applyFill="1" applyBorder="1" applyAlignment="1" applyProtection="1">
      <alignment vertical="center" shrinkToFit="1"/>
    </xf>
    <xf numFmtId="0" fontId="12" fillId="0" borderId="0" xfId="0" applyFont="1" applyAlignment="1">
      <alignment shrinkToFit="1"/>
    </xf>
    <xf numFmtId="176" fontId="0" fillId="0" borderId="178" xfId="0" applyNumberFormat="1" applyBorder="1" applyAlignment="1">
      <alignment horizontal="center" vertical="center" wrapText="1"/>
    </xf>
    <xf numFmtId="176" fontId="0" fillId="0" borderId="16" xfId="0" applyNumberFormat="1" applyBorder="1" applyAlignment="1">
      <alignment horizontal="center" vertical="center" wrapText="1"/>
    </xf>
    <xf numFmtId="177" fontId="12" fillId="0" borderId="158" xfId="4" applyNumberFormat="1" applyFont="1" applyFill="1" applyBorder="1" applyAlignment="1" applyProtection="1">
      <alignment vertical="center" shrinkToFit="1"/>
    </xf>
    <xf numFmtId="176" fontId="0" fillId="5" borderId="119" xfId="0" applyNumberFormat="1" applyFill="1" applyBorder="1" applyAlignment="1" applyProtection="1">
      <alignment vertical="center"/>
      <protection locked="0"/>
    </xf>
    <xf numFmtId="176" fontId="0" fillId="5" borderId="120" xfId="0" applyNumberFormat="1" applyFill="1" applyBorder="1" applyAlignment="1" applyProtection="1">
      <alignment vertical="center"/>
      <protection locked="0"/>
    </xf>
    <xf numFmtId="177" fontId="12" fillId="0" borderId="19" xfId="4" applyNumberFormat="1" applyFont="1" applyFill="1" applyBorder="1" applyAlignment="1" applyProtection="1">
      <alignment vertical="center" shrinkToFit="1"/>
    </xf>
    <xf numFmtId="177" fontId="12" fillId="0" borderId="20" xfId="4" applyNumberFormat="1" applyFont="1" applyFill="1" applyBorder="1" applyAlignment="1" applyProtection="1">
      <alignment vertical="center" shrinkToFit="1"/>
    </xf>
    <xf numFmtId="177" fontId="12" fillId="0" borderId="150" xfId="4" applyNumberFormat="1" applyFont="1" applyFill="1" applyBorder="1" applyAlignment="1" applyProtection="1">
      <alignment vertical="center" shrinkToFit="1"/>
    </xf>
    <xf numFmtId="0" fontId="29" fillId="0" borderId="0" xfId="0" applyFont="1" applyAlignment="1">
      <alignment horizontal="center" vertical="center"/>
    </xf>
    <xf numFmtId="177" fontId="12" fillId="0" borderId="22" xfId="4" applyNumberFormat="1" applyFont="1" applyFill="1" applyBorder="1" applyAlignment="1" applyProtection="1">
      <alignment horizontal="center" vertical="center" shrinkToFit="1"/>
    </xf>
    <xf numFmtId="0" fontId="12" fillId="0" borderId="0" xfId="0" applyFont="1" applyAlignment="1">
      <alignment horizontal="center" vertical="center" shrinkToFit="1"/>
    </xf>
    <xf numFmtId="177" fontId="12" fillId="0" borderId="1" xfId="4" applyNumberFormat="1" applyFont="1" applyFill="1" applyBorder="1" applyAlignment="1" applyProtection="1">
      <alignment vertical="center" shrinkToFit="1"/>
      <protection locked="0"/>
    </xf>
    <xf numFmtId="177" fontId="12" fillId="0" borderId="0" xfId="4" applyNumberFormat="1" applyFont="1" applyFill="1" applyBorder="1" applyAlignment="1" applyProtection="1">
      <alignment horizontal="center" vertical="center" shrinkToFit="1"/>
    </xf>
    <xf numFmtId="177" fontId="0" fillId="0" borderId="0" xfId="0" applyNumberFormat="1" applyAlignment="1">
      <alignment vertical="center"/>
    </xf>
    <xf numFmtId="0" fontId="0" fillId="0" borderId="112" xfId="0" applyBorder="1" applyAlignment="1">
      <alignment vertical="center"/>
    </xf>
    <xf numFmtId="0" fontId="0" fillId="0" borderId="19" xfId="0" applyBorder="1" applyAlignment="1">
      <alignment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20" xfId="0" applyBorder="1" applyAlignment="1">
      <alignment vertical="center"/>
    </xf>
    <xf numFmtId="0" fontId="0" fillId="8" borderId="27" xfId="0" applyFill="1" applyBorder="1" applyAlignment="1">
      <alignment horizontal="center" vertical="center"/>
    </xf>
    <xf numFmtId="0" fontId="0" fillId="0" borderId="112" xfId="0" applyBorder="1" applyAlignment="1">
      <alignment horizontal="left" vertical="center"/>
    </xf>
    <xf numFmtId="0" fontId="0" fillId="0" borderId="5" xfId="0" applyBorder="1" applyAlignment="1">
      <alignment horizontal="left" vertical="center"/>
    </xf>
    <xf numFmtId="177" fontId="12" fillId="0" borderId="53" xfId="4" applyNumberFormat="1" applyFont="1" applyFill="1" applyBorder="1" applyAlignment="1" applyProtection="1">
      <alignment vertical="center" shrinkToFit="1"/>
    </xf>
    <xf numFmtId="176" fontId="0" fillId="0" borderId="123" xfId="0" applyNumberFormat="1" applyBorder="1" applyAlignment="1">
      <alignment vertical="center"/>
    </xf>
    <xf numFmtId="177" fontId="12" fillId="0" borderId="11" xfId="4" applyNumberFormat="1" applyFont="1" applyFill="1" applyBorder="1" applyAlignment="1" applyProtection="1">
      <alignment vertical="center" shrinkToFit="1"/>
    </xf>
    <xf numFmtId="176" fontId="0" fillId="0" borderId="112" xfId="0" applyNumberFormat="1" applyBorder="1" applyAlignment="1">
      <alignment vertical="center"/>
    </xf>
    <xf numFmtId="177" fontId="12" fillId="0" borderId="116" xfId="4" applyNumberFormat="1" applyFont="1" applyFill="1" applyBorder="1" applyAlignment="1" applyProtection="1">
      <alignment vertical="center" shrinkToFit="1"/>
    </xf>
    <xf numFmtId="177" fontId="12" fillId="0" borderId="112" xfId="4" applyNumberFormat="1" applyFont="1" applyFill="1" applyBorder="1" applyAlignment="1" applyProtection="1">
      <alignment vertical="center" shrinkToFit="1"/>
    </xf>
    <xf numFmtId="176" fontId="0" fillId="0" borderId="11" xfId="0" applyNumberFormat="1" applyBorder="1" applyAlignment="1">
      <alignment vertical="center"/>
    </xf>
    <xf numFmtId="0" fontId="0" fillId="0" borderId="6" xfId="0" applyBorder="1" applyAlignment="1">
      <alignment horizontal="left" vertical="center"/>
    </xf>
    <xf numFmtId="176" fontId="0" fillId="0" borderId="19" xfId="0" applyNumberFormat="1" applyBorder="1" applyAlignment="1">
      <alignment vertical="center"/>
    </xf>
    <xf numFmtId="0" fontId="0" fillId="0" borderId="7" xfId="0" applyBorder="1" applyAlignment="1">
      <alignment horizontal="left" vertical="center"/>
    </xf>
    <xf numFmtId="176" fontId="0" fillId="0" borderId="20" xfId="0" applyNumberFormat="1" applyBorder="1" applyAlignment="1">
      <alignment vertical="center"/>
    </xf>
    <xf numFmtId="176" fontId="0" fillId="0" borderId="229" xfId="0" applyNumberFormat="1" applyBorder="1" applyAlignment="1">
      <alignment vertical="center"/>
    </xf>
    <xf numFmtId="177" fontId="12" fillId="0" borderId="175" xfId="4" applyNumberFormat="1" applyFont="1" applyFill="1" applyBorder="1" applyAlignment="1" applyProtection="1">
      <alignment vertical="center" shrinkToFit="1"/>
    </xf>
    <xf numFmtId="176" fontId="0" fillId="0" borderId="175" xfId="0" applyNumberFormat="1" applyBorder="1" applyAlignment="1">
      <alignment vertical="center"/>
    </xf>
    <xf numFmtId="177" fontId="12" fillId="0" borderId="185" xfId="4" applyNumberFormat="1" applyFont="1" applyFill="1" applyBorder="1" applyAlignment="1" applyProtection="1">
      <alignment vertical="center" shrinkToFit="1"/>
    </xf>
    <xf numFmtId="176" fontId="1" fillId="0" borderId="178" xfId="4" applyNumberFormat="1" applyFill="1" applyBorder="1" applyAlignment="1" applyProtection="1">
      <alignment vertical="center"/>
    </xf>
    <xf numFmtId="177" fontId="12" fillId="0" borderId="16" xfId="4" applyNumberFormat="1" applyFont="1" applyFill="1" applyBorder="1" applyAlignment="1" applyProtection="1">
      <alignment vertical="center" shrinkToFit="1"/>
    </xf>
    <xf numFmtId="176" fontId="1" fillId="0" borderId="16" xfId="4" applyNumberFormat="1" applyFill="1" applyBorder="1" applyAlignment="1" applyProtection="1">
      <alignment vertical="center"/>
    </xf>
    <xf numFmtId="177" fontId="12" fillId="0" borderId="92" xfId="4" applyNumberFormat="1" applyFont="1" applyFill="1" applyBorder="1" applyAlignment="1" applyProtection="1">
      <alignment vertical="center" shrinkToFit="1"/>
    </xf>
    <xf numFmtId="176" fontId="1" fillId="0" borderId="165" xfId="4" applyNumberFormat="1" applyFill="1" applyBorder="1" applyAlignment="1" applyProtection="1">
      <alignment vertical="center"/>
    </xf>
    <xf numFmtId="177" fontId="12" fillId="0" borderId="65" xfId="4" applyNumberFormat="1" applyFont="1" applyFill="1" applyBorder="1" applyAlignment="1" applyProtection="1">
      <alignment vertical="center" shrinkToFit="1"/>
    </xf>
    <xf numFmtId="176" fontId="1" fillId="0" borderId="65" xfId="4" applyNumberFormat="1" applyFill="1" applyBorder="1" applyAlignment="1" applyProtection="1">
      <alignment vertical="center"/>
    </xf>
    <xf numFmtId="177" fontId="12" fillId="0" borderId="93" xfId="4" applyNumberFormat="1" applyFont="1" applyFill="1" applyBorder="1" applyAlignment="1" applyProtection="1">
      <alignment vertical="center" shrinkToFit="1"/>
    </xf>
    <xf numFmtId="177" fontId="12" fillId="0" borderId="35" xfId="4" applyNumberFormat="1" applyFont="1" applyFill="1" applyBorder="1" applyAlignment="1" applyProtection="1">
      <alignment vertical="center" shrinkToFit="1"/>
    </xf>
    <xf numFmtId="0" fontId="19" fillId="0" borderId="0" xfId="0" applyFont="1" applyAlignment="1">
      <alignment vertical="top"/>
    </xf>
    <xf numFmtId="177" fontId="12" fillId="5" borderId="11" xfId="4" applyNumberFormat="1" applyFont="1" applyFill="1" applyBorder="1" applyAlignment="1" applyProtection="1">
      <alignment vertical="center" shrinkToFit="1"/>
      <protection locked="0"/>
    </xf>
    <xf numFmtId="177" fontId="12" fillId="5" borderId="116" xfId="4" applyNumberFormat="1" applyFont="1" applyFill="1" applyBorder="1" applyAlignment="1" applyProtection="1">
      <alignment vertical="center" shrinkToFit="1"/>
      <protection locked="0"/>
    </xf>
    <xf numFmtId="176" fontId="0" fillId="5" borderId="123" xfId="0" applyNumberFormat="1" applyFill="1" applyBorder="1" applyAlignment="1" applyProtection="1">
      <alignment vertical="center"/>
      <protection locked="0"/>
    </xf>
    <xf numFmtId="176" fontId="0" fillId="5" borderId="11" xfId="0" applyNumberFormat="1" applyFill="1" applyBorder="1" applyAlignment="1" applyProtection="1">
      <alignment vertical="center"/>
      <protection locked="0"/>
    </xf>
    <xf numFmtId="176" fontId="0" fillId="0" borderId="0" xfId="4" applyNumberFormat="1" applyFont="1" applyFill="1" applyBorder="1" applyAlignment="1" applyProtection="1">
      <alignment horizontal="center" vertical="center" wrapText="1"/>
    </xf>
    <xf numFmtId="176" fontId="1" fillId="0" borderId="27" xfId="4" applyNumberFormat="1" applyFill="1" applyBorder="1" applyAlignment="1" applyProtection="1">
      <alignment vertical="center"/>
    </xf>
    <xf numFmtId="176" fontId="12" fillId="0" borderId="172" xfId="4" applyNumberFormat="1" applyFont="1" applyFill="1" applyBorder="1" applyAlignment="1" applyProtection="1">
      <alignment vertical="center"/>
    </xf>
    <xf numFmtId="176" fontId="1" fillId="0" borderId="173" xfId="4" applyNumberFormat="1" applyFill="1" applyBorder="1" applyAlignment="1" applyProtection="1">
      <alignment vertical="center"/>
    </xf>
    <xf numFmtId="0" fontId="18" fillId="0" borderId="0" xfId="0" applyFont="1" applyAlignment="1">
      <alignment vertical="center"/>
    </xf>
    <xf numFmtId="177" fontId="1" fillId="6" borderId="18" xfId="4" applyNumberFormat="1" applyFill="1" applyBorder="1" applyAlignment="1" applyProtection="1">
      <alignment vertical="center"/>
      <protection locked="0"/>
    </xf>
    <xf numFmtId="176" fontId="0" fillId="0" borderId="46" xfId="4" applyNumberFormat="1" applyFont="1" applyFill="1" applyBorder="1" applyAlignment="1">
      <alignment vertical="center"/>
    </xf>
    <xf numFmtId="176" fontId="1" fillId="0" borderId="53" xfId="4" applyNumberFormat="1" applyFont="1" applyFill="1" applyBorder="1" applyAlignment="1" applyProtection="1">
      <alignment vertical="center"/>
    </xf>
    <xf numFmtId="176" fontId="1" fillId="0" borderId="68" xfId="4" applyNumberFormat="1" applyFont="1" applyFill="1" applyBorder="1" applyAlignment="1" applyProtection="1">
      <alignment vertical="center"/>
    </xf>
    <xf numFmtId="176" fontId="0" fillId="0" borderId="13" xfId="4" applyNumberFormat="1" applyFont="1" applyFill="1" applyBorder="1" applyAlignment="1" applyProtection="1">
      <alignment vertical="center"/>
    </xf>
    <xf numFmtId="176" fontId="1" fillId="0" borderId="12" xfId="4" applyNumberFormat="1" applyFont="1" applyFill="1" applyBorder="1" applyAlignment="1" applyProtection="1">
      <alignment vertical="center"/>
    </xf>
    <xf numFmtId="176" fontId="0" fillId="5" borderId="2" xfId="4" applyNumberFormat="1" applyFont="1" applyFill="1" applyBorder="1" applyAlignment="1" applyProtection="1">
      <alignment horizontal="center" vertical="center"/>
      <protection locked="0"/>
    </xf>
    <xf numFmtId="176" fontId="1" fillId="5" borderId="11" xfId="4" applyNumberFormat="1" applyFont="1" applyFill="1" applyBorder="1" applyAlignment="1" applyProtection="1">
      <alignment vertical="center"/>
      <protection locked="0"/>
    </xf>
    <xf numFmtId="176" fontId="1" fillId="5" borderId="12" xfId="4" applyNumberFormat="1" applyFont="1" applyFill="1" applyBorder="1" applyAlignment="1" applyProtection="1">
      <alignment vertical="center"/>
      <protection locked="0"/>
    </xf>
    <xf numFmtId="176" fontId="1" fillId="5" borderId="6" xfId="4" applyNumberFormat="1" applyFont="1" applyFill="1" applyBorder="1" applyAlignment="1" applyProtection="1">
      <alignment vertical="center"/>
      <protection locked="0"/>
    </xf>
    <xf numFmtId="176" fontId="1" fillId="5" borderId="7" xfId="4" applyNumberFormat="1" applyFont="1" applyFill="1" applyBorder="1" applyAlignment="1" applyProtection="1">
      <alignment vertical="center"/>
      <protection locked="0"/>
    </xf>
    <xf numFmtId="176" fontId="1" fillId="5" borderId="18" xfId="4" applyNumberFormat="1" applyFont="1" applyFill="1" applyBorder="1" applyAlignment="1" applyProtection="1">
      <alignment vertical="center"/>
      <protection locked="0"/>
    </xf>
    <xf numFmtId="176" fontId="1" fillId="5" borderId="5" xfId="4" applyNumberFormat="1" applyFont="1" applyFill="1" applyBorder="1" applyAlignment="1" applyProtection="1">
      <alignment vertical="center"/>
      <protection locked="0"/>
    </xf>
    <xf numFmtId="176" fontId="0" fillId="5" borderId="12" xfId="4" applyNumberFormat="1" applyFont="1" applyFill="1" applyBorder="1" applyAlignment="1" applyProtection="1">
      <alignment vertical="center"/>
      <protection locked="0"/>
    </xf>
    <xf numFmtId="176" fontId="1" fillId="0" borderId="8" xfId="4" applyNumberFormat="1" applyFont="1" applyFill="1" applyBorder="1" applyAlignment="1" applyProtection="1">
      <alignment horizontal="right" vertical="center"/>
    </xf>
    <xf numFmtId="176" fontId="1" fillId="0" borderId="8" xfId="4" applyNumberFormat="1" applyFont="1" applyFill="1" applyBorder="1" applyAlignment="1" applyProtection="1">
      <alignment vertical="center"/>
    </xf>
    <xf numFmtId="176" fontId="1" fillId="0" borderId="2" xfId="4" applyNumberFormat="1" applyFont="1" applyFill="1" applyBorder="1" applyAlignment="1" applyProtection="1">
      <alignment vertical="center"/>
    </xf>
    <xf numFmtId="176" fontId="1" fillId="0" borderId="10" xfId="4" applyNumberFormat="1" applyFont="1" applyFill="1" applyBorder="1" applyAlignment="1" applyProtection="1">
      <alignment horizontal="right" vertical="center"/>
    </xf>
    <xf numFmtId="176" fontId="1" fillId="0" borderId="10" xfId="4" applyNumberFormat="1" applyFont="1" applyFill="1" applyBorder="1" applyAlignment="1" applyProtection="1">
      <alignment vertical="center"/>
    </xf>
    <xf numFmtId="176" fontId="1" fillId="0" borderId="56" xfId="4" applyNumberFormat="1" applyFont="1" applyFill="1" applyBorder="1" applyAlignment="1" applyProtection="1">
      <alignment vertical="center"/>
    </xf>
    <xf numFmtId="176" fontId="1" fillId="0" borderId="21" xfId="4" applyNumberFormat="1" applyFont="1" applyFill="1" applyBorder="1" applyAlignment="1" applyProtection="1">
      <alignment vertical="center"/>
    </xf>
    <xf numFmtId="176" fontId="1" fillId="5" borderId="9" xfId="4" applyNumberFormat="1" applyFont="1" applyFill="1" applyBorder="1" applyAlignment="1" applyProtection="1">
      <alignment vertical="center"/>
      <protection locked="0"/>
    </xf>
    <xf numFmtId="176" fontId="0" fillId="5" borderId="18" xfId="4" applyNumberFormat="1" applyFont="1" applyFill="1" applyBorder="1" applyAlignment="1" applyProtection="1">
      <alignment vertical="center"/>
      <protection locked="0"/>
    </xf>
    <xf numFmtId="176" fontId="1" fillId="5" borderId="8" xfId="4" applyNumberFormat="1" applyFont="1" applyFill="1" applyBorder="1" applyAlignment="1" applyProtection="1">
      <alignment vertical="center"/>
      <protection locked="0"/>
    </xf>
    <xf numFmtId="176" fontId="1" fillId="5" borderId="2" xfId="4" applyNumberFormat="1" applyFont="1" applyFill="1" applyBorder="1" applyAlignment="1" applyProtection="1">
      <alignment vertical="center"/>
      <protection locked="0"/>
    </xf>
    <xf numFmtId="176" fontId="1" fillId="5" borderId="10" xfId="4" applyNumberFormat="1" applyFont="1" applyFill="1" applyBorder="1" applyAlignment="1" applyProtection="1">
      <alignment vertical="center"/>
      <protection locked="0"/>
    </xf>
    <xf numFmtId="176" fontId="1" fillId="5" borderId="4" xfId="4" applyNumberFormat="1" applyFont="1" applyFill="1" applyBorder="1" applyAlignment="1" applyProtection="1">
      <alignment vertical="center"/>
      <protection locked="0"/>
    </xf>
    <xf numFmtId="176" fontId="1" fillId="0" borderId="15" xfId="4" applyNumberFormat="1" applyFont="1" applyFill="1" applyBorder="1" applyAlignment="1" applyProtection="1">
      <alignment vertical="center"/>
    </xf>
    <xf numFmtId="176" fontId="1" fillId="5" borderId="15" xfId="4" applyNumberFormat="1" applyFont="1" applyFill="1" applyBorder="1" applyAlignment="1" applyProtection="1">
      <alignment vertical="center"/>
      <protection locked="0"/>
    </xf>
    <xf numFmtId="176" fontId="0" fillId="5" borderId="26" xfId="4" applyNumberFormat="1" applyFont="1" applyFill="1" applyBorder="1" applyAlignment="1" applyProtection="1">
      <alignment vertical="center"/>
      <protection locked="0"/>
    </xf>
    <xf numFmtId="176" fontId="1" fillId="5" borderId="26" xfId="4" applyNumberFormat="1" applyFont="1" applyFill="1" applyBorder="1" applyAlignment="1" applyProtection="1">
      <alignment vertical="center"/>
      <protection locked="0"/>
    </xf>
    <xf numFmtId="176" fontId="1" fillId="5" borderId="13" xfId="4" applyNumberFormat="1" applyFont="1" applyFill="1" applyBorder="1" applyAlignment="1" applyProtection="1">
      <alignment vertical="center"/>
      <protection locked="0"/>
    </xf>
    <xf numFmtId="176" fontId="1" fillId="0" borderId="14" xfId="4" applyNumberFormat="1" applyFont="1" applyFill="1" applyBorder="1" applyAlignment="1" applyProtection="1">
      <alignment vertical="center"/>
    </xf>
    <xf numFmtId="176" fontId="1" fillId="5" borderId="16" xfId="4" applyNumberFormat="1" applyFont="1" applyFill="1" applyBorder="1" applyAlignment="1" applyProtection="1">
      <alignment vertical="center"/>
      <protection locked="0"/>
    </xf>
    <xf numFmtId="176" fontId="0" fillId="5" borderId="6" xfId="4" applyNumberFormat="1" applyFont="1" applyFill="1" applyBorder="1" applyAlignment="1" applyProtection="1">
      <alignment vertical="center"/>
      <protection locked="0"/>
    </xf>
    <xf numFmtId="176" fontId="0" fillId="5" borderId="72" xfId="4" applyNumberFormat="1" applyFont="1" applyFill="1" applyBorder="1" applyAlignment="1" applyProtection="1">
      <alignment vertical="center"/>
      <protection locked="0"/>
    </xf>
    <xf numFmtId="176" fontId="1" fillId="0" borderId="63"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1" fillId="0" borderId="65" xfId="4" applyNumberFormat="1" applyFont="1" applyFill="1" applyBorder="1" applyAlignment="1" applyProtection="1">
      <alignment vertical="center"/>
    </xf>
    <xf numFmtId="176" fontId="1" fillId="5" borderId="21" xfId="4" applyNumberFormat="1" applyFont="1" applyFill="1" applyBorder="1" applyAlignment="1" applyProtection="1">
      <alignment vertical="center"/>
      <protection locked="0"/>
    </xf>
    <xf numFmtId="176" fontId="1" fillId="0" borderId="67" xfId="4" applyNumberFormat="1" applyFont="1" applyFill="1" applyBorder="1" applyAlignment="1" applyProtection="1">
      <alignment vertical="center"/>
    </xf>
    <xf numFmtId="176" fontId="0" fillId="5" borderId="19" xfId="4" applyNumberFormat="1" applyFont="1" applyFill="1" applyBorder="1" applyAlignment="1" applyProtection="1">
      <alignment vertical="center"/>
      <protection locked="0"/>
    </xf>
    <xf numFmtId="176" fontId="0" fillId="5" borderId="20" xfId="4" applyNumberFormat="1" applyFont="1" applyFill="1" applyBorder="1" applyAlignment="1" applyProtection="1">
      <alignment vertical="center"/>
      <protection locked="0"/>
    </xf>
    <xf numFmtId="176" fontId="0" fillId="5" borderId="54" xfId="4" applyNumberFormat="1" applyFont="1" applyFill="1" applyBorder="1" applyAlignment="1" applyProtection="1">
      <alignment vertical="center"/>
      <protection locked="0"/>
    </xf>
    <xf numFmtId="176" fontId="0" fillId="5" borderId="55" xfId="4" applyNumberFormat="1" applyFont="1" applyFill="1" applyBorder="1" applyAlignment="1" applyProtection="1">
      <alignment vertical="center"/>
      <protection locked="0"/>
    </xf>
    <xf numFmtId="176" fontId="1" fillId="5" borderId="3" xfId="4" applyNumberFormat="1" applyFont="1" applyFill="1" applyBorder="1" applyAlignment="1" applyProtection="1">
      <alignment vertical="center"/>
      <protection locked="0"/>
    </xf>
    <xf numFmtId="176" fontId="0" fillId="0" borderId="103" xfId="4" applyNumberFormat="1" applyFont="1" applyFill="1" applyBorder="1" applyAlignment="1" applyProtection="1">
      <alignment horizontal="center" vertical="center"/>
    </xf>
    <xf numFmtId="176" fontId="0" fillId="0" borderId="104" xfId="4" applyNumberFormat="1" applyFont="1" applyFill="1" applyBorder="1" applyAlignment="1" applyProtection="1">
      <alignment horizontal="center" vertical="center"/>
    </xf>
    <xf numFmtId="176" fontId="1" fillId="0" borderId="18" xfId="4" applyNumberFormat="1" applyFill="1" applyBorder="1" applyAlignment="1">
      <alignment vertical="center" shrinkToFit="1"/>
    </xf>
    <xf numFmtId="176" fontId="1" fillId="0" borderId="2" xfId="4" applyNumberFormat="1" applyFill="1" applyBorder="1" applyAlignment="1">
      <alignment vertical="center" shrinkToFit="1"/>
    </xf>
    <xf numFmtId="176" fontId="1" fillId="0" borderId="11" xfId="4" applyNumberFormat="1" applyFill="1" applyBorder="1" applyAlignment="1">
      <alignment vertical="center" shrinkToFit="1"/>
    </xf>
    <xf numFmtId="176" fontId="1" fillId="0" borderId="74" xfId="4" applyNumberFormat="1" applyFill="1" applyBorder="1" applyAlignment="1">
      <alignment vertical="center" shrinkToFit="1"/>
    </xf>
    <xf numFmtId="176" fontId="1" fillId="0" borderId="17" xfId="4" applyNumberFormat="1" applyFill="1" applyBorder="1" applyAlignment="1">
      <alignment vertical="center" shrinkToFit="1"/>
    </xf>
    <xf numFmtId="176" fontId="1" fillId="0" borderId="1" xfId="4" applyNumberFormat="1" applyFill="1" applyBorder="1" applyAlignment="1">
      <alignment vertical="center" shrinkToFit="1"/>
    </xf>
    <xf numFmtId="0" fontId="0" fillId="0" borderId="69" xfId="0" applyBorder="1" applyAlignment="1">
      <alignment vertical="center" textRotation="255"/>
    </xf>
    <xf numFmtId="0" fontId="0" fillId="0" borderId="0" xfId="0" applyAlignment="1">
      <alignment vertical="center" textRotation="255"/>
    </xf>
    <xf numFmtId="176" fontId="0" fillId="0" borderId="0" xfId="0" applyNumberFormat="1" applyAlignment="1">
      <alignment vertical="center" shrinkToFit="1"/>
    </xf>
    <xf numFmtId="177" fontId="12" fillId="0" borderId="23" xfId="4" applyNumberFormat="1" applyFont="1" applyFill="1" applyBorder="1" applyAlignment="1" applyProtection="1">
      <alignment vertical="center" shrinkToFit="1"/>
    </xf>
    <xf numFmtId="176" fontId="0" fillId="0" borderId="157" xfId="0" applyNumberFormat="1" applyBorder="1" applyAlignment="1">
      <alignment vertical="center"/>
    </xf>
    <xf numFmtId="177" fontId="12" fillId="5" borderId="4" xfId="4" applyNumberFormat="1" applyFont="1" applyFill="1" applyBorder="1" applyAlignment="1" applyProtection="1">
      <alignment vertical="center" shrinkToFit="1"/>
      <protection locked="0"/>
    </xf>
    <xf numFmtId="177" fontId="12" fillId="0" borderId="112" xfId="4" applyNumberFormat="1" applyFont="1" applyFill="1" applyBorder="1" applyAlignment="1" applyProtection="1">
      <alignment vertical="center" shrinkToFit="1"/>
      <protection locked="0"/>
    </xf>
    <xf numFmtId="176" fontId="1" fillId="0" borderId="13" xfId="4" applyNumberFormat="1" applyFill="1" applyBorder="1" applyAlignment="1" applyProtection="1">
      <alignment vertical="center"/>
    </xf>
    <xf numFmtId="177" fontId="12" fillId="0" borderId="26" xfId="4" applyNumberFormat="1" applyFont="1" applyFill="1" applyBorder="1" applyAlignment="1" applyProtection="1">
      <alignment vertical="center" shrinkToFit="1"/>
    </xf>
    <xf numFmtId="176" fontId="0" fillId="0" borderId="97" xfId="0" applyNumberFormat="1" applyBorder="1" applyAlignment="1">
      <alignment vertical="center"/>
    </xf>
    <xf numFmtId="177" fontId="12" fillId="0" borderId="13" xfId="4" applyNumberFormat="1" applyFont="1" applyFill="1" applyBorder="1" applyAlignment="1" applyProtection="1">
      <alignment vertical="center" shrinkToFit="1"/>
      <protection locked="0"/>
    </xf>
    <xf numFmtId="177" fontId="12" fillId="0" borderId="100" xfId="4" applyNumberFormat="1" applyFont="1" applyFill="1" applyBorder="1" applyAlignment="1" applyProtection="1">
      <alignment vertical="center" shrinkToFit="1"/>
      <protection locked="0"/>
    </xf>
    <xf numFmtId="177" fontId="12" fillId="5" borderId="80" xfId="4" applyNumberFormat="1" applyFont="1" applyFill="1" applyBorder="1" applyAlignment="1" applyProtection="1">
      <alignment vertical="center" shrinkToFit="1"/>
      <protection locked="0"/>
    </xf>
    <xf numFmtId="177" fontId="12" fillId="0" borderId="18" xfId="4" applyNumberFormat="1" applyFont="1" applyFill="1" applyBorder="1" applyAlignment="1" applyProtection="1">
      <alignment vertical="center" shrinkToFit="1"/>
      <protection locked="0"/>
    </xf>
    <xf numFmtId="176" fontId="1" fillId="5" borderId="13" xfId="4" applyNumberFormat="1" applyFill="1" applyBorder="1" applyAlignment="1" applyProtection="1">
      <alignment vertical="center"/>
      <protection locked="0"/>
    </xf>
    <xf numFmtId="176" fontId="1" fillId="5" borderId="26" xfId="4" applyNumberFormat="1" applyFill="1" applyBorder="1" applyAlignment="1" applyProtection="1">
      <alignment vertical="center"/>
      <protection locked="0"/>
    </xf>
    <xf numFmtId="176" fontId="6" fillId="0" borderId="0" xfId="0" applyNumberFormat="1" applyFont="1" applyAlignment="1">
      <alignment vertical="center" shrinkToFit="1"/>
    </xf>
    <xf numFmtId="177" fontId="6" fillId="0" borderId="0" xfId="0" applyNumberFormat="1" applyFont="1" applyAlignment="1">
      <alignment vertical="center"/>
    </xf>
    <xf numFmtId="176" fontId="0" fillId="0" borderId="12" xfId="4" applyNumberFormat="1" applyFont="1" applyFill="1" applyBorder="1" applyAlignment="1" applyProtection="1">
      <alignment vertical="center"/>
    </xf>
    <xf numFmtId="176" fontId="0" fillId="5" borderId="11" xfId="4" applyNumberFormat="1" applyFont="1" applyFill="1" applyBorder="1" applyAlignment="1" applyProtection="1">
      <alignment vertical="center"/>
      <protection locked="0"/>
    </xf>
    <xf numFmtId="176" fontId="0" fillId="0" borderId="15" xfId="4" applyNumberFormat="1" applyFont="1" applyFill="1" applyBorder="1" applyAlignment="1" applyProtection="1">
      <alignment vertical="center"/>
    </xf>
    <xf numFmtId="176" fontId="0" fillId="0" borderId="19" xfId="4" applyNumberFormat="1" applyFont="1" applyFill="1" applyBorder="1" applyAlignment="1" applyProtection="1">
      <alignment vertical="center"/>
    </xf>
    <xf numFmtId="176" fontId="0" fillId="5" borderId="16" xfId="4" applyNumberFormat="1" applyFont="1" applyFill="1" applyBorder="1" applyAlignment="1" applyProtection="1">
      <alignment vertical="center"/>
      <protection locked="0"/>
    </xf>
    <xf numFmtId="176" fontId="6" fillId="0" borderId="241" xfId="4" applyNumberFormat="1" applyFont="1" applyFill="1" applyBorder="1" applyAlignment="1">
      <alignment vertical="center"/>
    </xf>
    <xf numFmtId="176" fontId="0" fillId="0" borderId="72" xfId="4" applyNumberFormat="1" applyFont="1" applyFill="1" applyBorder="1" applyAlignment="1">
      <alignment vertical="center" shrinkToFit="1"/>
    </xf>
    <xf numFmtId="176" fontId="1" fillId="0" borderId="242" xfId="4" applyNumberFormat="1" applyFill="1" applyBorder="1" applyAlignment="1">
      <alignment vertical="center"/>
    </xf>
    <xf numFmtId="176" fontId="6" fillId="0" borderId="34" xfId="4" applyNumberFormat="1" applyFont="1" applyFill="1" applyBorder="1" applyAlignment="1">
      <alignment vertical="center"/>
    </xf>
    <xf numFmtId="176" fontId="0" fillId="0" borderId="29" xfId="4" applyNumberFormat="1" applyFont="1" applyFill="1" applyBorder="1" applyAlignment="1">
      <alignment vertical="center" shrinkToFit="1"/>
    </xf>
    <xf numFmtId="176" fontId="1" fillId="0" borderId="243" xfId="4" applyNumberFormat="1" applyFill="1" applyBorder="1" applyAlignment="1">
      <alignment vertical="center"/>
    </xf>
    <xf numFmtId="176" fontId="12" fillId="0" borderId="103" xfId="4" applyNumberFormat="1" applyFont="1" applyFill="1" applyBorder="1" applyAlignment="1" applyProtection="1">
      <alignment horizontal="right" vertical="center"/>
    </xf>
    <xf numFmtId="176" fontId="12" fillId="0" borderId="104" xfId="4" applyNumberFormat="1" applyFont="1" applyFill="1" applyBorder="1" applyAlignment="1" applyProtection="1">
      <alignment horizontal="right" vertical="center"/>
    </xf>
    <xf numFmtId="177" fontId="0" fillId="5" borderId="71" xfId="4" applyNumberFormat="1" applyFont="1" applyFill="1" applyBorder="1" applyAlignment="1" applyProtection="1">
      <alignment vertical="center"/>
      <protection locked="0"/>
    </xf>
    <xf numFmtId="176" fontId="0" fillId="0" borderId="11" xfId="4" applyNumberFormat="1" applyFont="1" applyFill="1" applyBorder="1" applyAlignment="1" applyProtection="1">
      <alignment vertical="center"/>
    </xf>
    <xf numFmtId="176" fontId="0" fillId="0" borderId="111" xfId="4" applyNumberFormat="1" applyFont="1" applyFill="1" applyBorder="1" applyAlignment="1" applyProtection="1">
      <alignment horizontal="center" vertical="center"/>
    </xf>
    <xf numFmtId="176" fontId="0" fillId="0" borderId="96" xfId="4" applyNumberFormat="1" applyFont="1" applyFill="1" applyBorder="1" applyAlignment="1" applyProtection="1">
      <alignment horizontal="center" vertical="center"/>
    </xf>
    <xf numFmtId="176" fontId="1" fillId="0" borderId="107" xfId="4" applyNumberFormat="1" applyFill="1" applyBorder="1" applyAlignment="1" applyProtection="1">
      <alignment horizontal="right" vertical="center"/>
    </xf>
    <xf numFmtId="176" fontId="1" fillId="0" borderId="108" xfId="4" applyNumberFormat="1" applyFill="1" applyBorder="1" applyAlignment="1" applyProtection="1">
      <alignment horizontal="right" vertical="center"/>
    </xf>
    <xf numFmtId="176" fontId="1" fillId="13" borderId="103" xfId="4" applyNumberFormat="1" applyFill="1" applyBorder="1" applyAlignment="1" applyProtection="1">
      <alignment horizontal="right" vertical="center"/>
    </xf>
    <xf numFmtId="176" fontId="1" fillId="13" borderId="104" xfId="4" applyNumberFormat="1" applyFill="1" applyBorder="1" applyAlignment="1" applyProtection="1">
      <alignment horizontal="right" vertical="center"/>
    </xf>
    <xf numFmtId="176" fontId="36"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horizontal="right"/>
    </xf>
    <xf numFmtId="177" fontId="0" fillId="8" borderId="23" xfId="4" applyNumberFormat="1" applyFont="1" applyFill="1" applyBorder="1" applyAlignment="1" applyProtection="1">
      <alignment horizontal="center" vertical="center" shrinkToFit="1"/>
    </xf>
    <xf numFmtId="176" fontId="8" fillId="5" borderId="157" xfId="4" applyNumberFormat="1" applyFont="1" applyFill="1" applyBorder="1" applyAlignment="1" applyProtection="1">
      <alignment horizontal="center" vertical="center" shrinkToFit="1"/>
      <protection locked="0"/>
    </xf>
    <xf numFmtId="176" fontId="8" fillId="5" borderId="4" xfId="4" applyNumberFormat="1" applyFont="1" applyFill="1" applyBorder="1" applyAlignment="1" applyProtection="1">
      <alignment horizontal="center" vertical="center" shrinkToFit="1"/>
      <protection locked="0"/>
    </xf>
    <xf numFmtId="177" fontId="0" fillId="8" borderId="158" xfId="4" applyNumberFormat="1" applyFont="1" applyFill="1" applyBorder="1" applyAlignment="1" applyProtection="1">
      <alignment horizontal="center" vertical="center" shrinkToFit="1"/>
    </xf>
    <xf numFmtId="176" fontId="8" fillId="0" borderId="2" xfId="4" applyNumberFormat="1" applyFont="1" applyFill="1" applyBorder="1" applyAlignment="1" applyProtection="1">
      <alignment vertical="center"/>
    </xf>
    <xf numFmtId="177" fontId="8" fillId="0" borderId="52" xfId="4" applyNumberFormat="1" applyFont="1" applyFill="1" applyBorder="1" applyAlignment="1" applyProtection="1">
      <alignment vertical="center" shrinkToFit="1"/>
    </xf>
    <xf numFmtId="176" fontId="8" fillId="0" borderId="122" xfId="0" applyNumberFormat="1" applyFont="1" applyBorder="1" applyAlignment="1">
      <alignment vertical="center"/>
    </xf>
    <xf numFmtId="177" fontId="8" fillId="0" borderId="2" xfId="4" applyNumberFormat="1" applyFont="1" applyFill="1" applyBorder="1" applyAlignment="1" applyProtection="1">
      <alignment vertical="center" shrinkToFit="1"/>
    </xf>
    <xf numFmtId="176" fontId="8" fillId="0" borderId="2" xfId="0" applyNumberFormat="1" applyFont="1" applyBorder="1" applyAlignment="1">
      <alignment vertical="center"/>
    </xf>
    <xf numFmtId="177" fontId="8" fillId="0" borderId="96" xfId="4" applyNumberFormat="1" applyFont="1" applyFill="1" applyBorder="1" applyAlignment="1" applyProtection="1">
      <alignment vertical="center" shrinkToFit="1"/>
    </xf>
    <xf numFmtId="176" fontId="8" fillId="0" borderId="3" xfId="4" applyNumberFormat="1" applyFont="1" applyFill="1" applyBorder="1" applyAlignment="1" applyProtection="1">
      <alignment vertical="center"/>
    </xf>
    <xf numFmtId="177" fontId="8" fillId="0" borderId="24" xfId="4" applyNumberFormat="1" applyFont="1" applyFill="1" applyBorder="1" applyAlignment="1" applyProtection="1">
      <alignment vertical="center" shrinkToFit="1"/>
    </xf>
    <xf numFmtId="176" fontId="8" fillId="0" borderId="256" xfId="0" applyNumberFormat="1" applyFont="1" applyBorder="1" applyAlignment="1">
      <alignment vertical="center"/>
    </xf>
    <xf numFmtId="177" fontId="8" fillId="0" borderId="3" xfId="4" applyNumberFormat="1" applyFont="1" applyFill="1" applyBorder="1" applyAlignment="1" applyProtection="1">
      <alignment vertical="center" shrinkToFit="1"/>
    </xf>
    <xf numFmtId="176" fontId="8" fillId="0" borderId="3" xfId="0" applyNumberFormat="1" applyFont="1" applyBorder="1" applyAlignment="1">
      <alignment vertical="center"/>
    </xf>
    <xf numFmtId="177" fontId="8" fillId="0" borderId="173" xfId="4" applyNumberFormat="1" applyFont="1" applyFill="1" applyBorder="1" applyAlignment="1" applyProtection="1">
      <alignment vertical="center" shrinkToFit="1"/>
    </xf>
    <xf numFmtId="176" fontId="29" fillId="16" borderId="3" xfId="4" applyNumberFormat="1" applyFont="1" applyFill="1" applyBorder="1" applyAlignment="1" applyProtection="1">
      <alignment horizontal="center" vertical="center"/>
    </xf>
    <xf numFmtId="0" fontId="8" fillId="0" borderId="11" xfId="0" applyFont="1" applyBorder="1" applyAlignment="1">
      <alignment horizontal="left" vertical="center"/>
    </xf>
    <xf numFmtId="177" fontId="8" fillId="0" borderId="53" xfId="4" applyNumberFormat="1" applyFont="1" applyFill="1" applyBorder="1" applyAlignment="1" applyProtection="1">
      <alignment vertical="center" shrinkToFit="1"/>
    </xf>
    <xf numFmtId="176" fontId="8" fillId="0" borderId="123" xfId="0" applyNumberFormat="1" applyFont="1" applyBorder="1" applyAlignment="1">
      <alignment horizontal="right" vertical="center"/>
    </xf>
    <xf numFmtId="177" fontId="8" fillId="0" borderId="11" xfId="4" applyNumberFormat="1" applyFont="1" applyFill="1" applyBorder="1" applyAlignment="1" applyProtection="1">
      <alignment vertical="center" shrinkToFit="1"/>
    </xf>
    <xf numFmtId="176" fontId="8" fillId="0" borderId="11" xfId="0" applyNumberFormat="1" applyFont="1" applyBorder="1" applyAlignment="1">
      <alignment vertical="center"/>
    </xf>
    <xf numFmtId="177" fontId="8" fillId="0" borderId="116" xfId="4" applyNumberFormat="1" applyFont="1" applyFill="1" applyBorder="1" applyAlignment="1" applyProtection="1">
      <alignment vertical="center" shrinkToFit="1"/>
    </xf>
    <xf numFmtId="0" fontId="8" fillId="0" borderId="13" xfId="0" applyFont="1" applyBorder="1" applyAlignment="1">
      <alignment horizontal="left" vertical="center"/>
    </xf>
    <xf numFmtId="177" fontId="8" fillId="0" borderId="58" xfId="4" applyNumberFormat="1" applyFont="1" applyFill="1" applyBorder="1" applyAlignment="1" applyProtection="1">
      <alignment vertical="center" shrinkToFit="1"/>
    </xf>
    <xf numFmtId="176" fontId="8" fillId="0" borderId="118" xfId="0" applyNumberFormat="1" applyFont="1" applyBorder="1" applyAlignment="1">
      <alignment vertical="center"/>
    </xf>
    <xf numFmtId="177" fontId="8" fillId="0" borderId="13" xfId="4" applyNumberFormat="1" applyFont="1" applyFill="1" applyBorder="1" applyAlignment="1" applyProtection="1">
      <alignment vertical="center" shrinkToFit="1"/>
    </xf>
    <xf numFmtId="176" fontId="8" fillId="0" borderId="13" xfId="0" applyNumberFormat="1" applyFont="1" applyBorder="1" applyAlignment="1">
      <alignment vertical="center"/>
    </xf>
    <xf numFmtId="177" fontId="8" fillId="0" borderId="100" xfId="4" applyNumberFormat="1" applyFont="1" applyFill="1" applyBorder="1" applyAlignment="1" applyProtection="1">
      <alignment vertical="center" shrinkToFit="1"/>
    </xf>
    <xf numFmtId="0" fontId="8" fillId="0" borderId="12" xfId="0" applyFont="1" applyBorder="1" applyAlignment="1">
      <alignment horizontal="left" vertical="center"/>
    </xf>
    <xf numFmtId="177" fontId="8" fillId="0" borderId="54" xfId="4" applyNumberFormat="1" applyFont="1" applyFill="1" applyBorder="1" applyAlignment="1" applyProtection="1">
      <alignment vertical="center" shrinkToFit="1"/>
    </xf>
    <xf numFmtId="176" fontId="8" fillId="0" borderId="119" xfId="0" applyNumberFormat="1" applyFont="1" applyBorder="1" applyAlignment="1">
      <alignment vertical="center"/>
    </xf>
    <xf numFmtId="177" fontId="8" fillId="0" borderId="12" xfId="4" applyNumberFormat="1" applyFont="1" applyFill="1" applyBorder="1" applyAlignment="1" applyProtection="1">
      <alignment vertical="center" shrinkToFit="1"/>
    </xf>
    <xf numFmtId="176" fontId="8" fillId="0" borderId="12" xfId="0" applyNumberFormat="1" applyFont="1" applyBorder="1" applyAlignment="1">
      <alignment vertical="center"/>
    </xf>
    <xf numFmtId="177" fontId="8" fillId="0" borderId="104" xfId="4" applyNumberFormat="1" applyFont="1" applyFill="1" applyBorder="1" applyAlignment="1" applyProtection="1">
      <alignment vertical="center" shrinkToFit="1"/>
    </xf>
    <xf numFmtId="0" fontId="8" fillId="0" borderId="18" xfId="0" applyFont="1" applyBorder="1" applyAlignment="1">
      <alignment horizontal="left" vertical="center"/>
    </xf>
    <xf numFmtId="176" fontId="8" fillId="0" borderId="18" xfId="4" applyNumberFormat="1" applyFont="1" applyFill="1" applyBorder="1" applyAlignment="1" applyProtection="1">
      <alignment vertical="center"/>
    </xf>
    <xf numFmtId="177" fontId="8" fillId="0" borderId="55" xfId="4" applyNumberFormat="1" applyFont="1" applyFill="1" applyBorder="1" applyAlignment="1" applyProtection="1">
      <alignment vertical="center" shrinkToFit="1"/>
    </xf>
    <xf numFmtId="176" fontId="8" fillId="0" borderId="120" xfId="0" applyNumberFormat="1" applyFont="1" applyBorder="1" applyAlignment="1">
      <alignment vertical="center"/>
    </xf>
    <xf numFmtId="177" fontId="8" fillId="0" borderId="18" xfId="4" applyNumberFormat="1" applyFont="1" applyFill="1" applyBorder="1" applyAlignment="1" applyProtection="1">
      <alignment vertical="center" shrinkToFit="1"/>
    </xf>
    <xf numFmtId="176" fontId="8" fillId="0" borderId="18" xfId="0" applyNumberFormat="1" applyFont="1" applyBorder="1" applyAlignment="1">
      <alignment vertical="center"/>
    </xf>
    <xf numFmtId="177" fontId="8" fillId="0" borderId="108" xfId="4" applyNumberFormat="1" applyFont="1" applyFill="1" applyBorder="1" applyAlignment="1" applyProtection="1">
      <alignment vertical="center" shrinkToFit="1"/>
    </xf>
    <xf numFmtId="176" fontId="8" fillId="0" borderId="4" xfId="4" applyNumberFormat="1" applyFont="1" applyFill="1" applyBorder="1" applyAlignment="1" applyProtection="1">
      <alignment vertical="center"/>
    </xf>
    <xf numFmtId="177" fontId="8" fillId="0" borderId="23" xfId="4" applyNumberFormat="1" applyFont="1" applyFill="1" applyBorder="1" applyAlignment="1" applyProtection="1">
      <alignment vertical="center" shrinkToFit="1"/>
    </xf>
    <xf numFmtId="176" fontId="1" fillId="16" borderId="3" xfId="4" applyNumberFormat="1" applyFont="1" applyFill="1" applyBorder="1" applyAlignment="1" applyProtection="1">
      <alignment horizontal="center" vertical="center"/>
    </xf>
    <xf numFmtId="176" fontId="8" fillId="0" borderId="157" xfId="0" applyNumberFormat="1" applyFont="1" applyBorder="1" applyAlignment="1">
      <alignment vertical="center"/>
    </xf>
    <xf numFmtId="177" fontId="8" fillId="0" borderId="4" xfId="4" applyNumberFormat="1" applyFont="1" applyFill="1" applyBorder="1" applyAlignment="1" applyProtection="1">
      <alignment vertical="center" shrinkToFit="1"/>
    </xf>
    <xf numFmtId="176" fontId="8" fillId="0" borderId="4" xfId="0" applyNumberFormat="1" applyFont="1" applyBorder="1" applyAlignment="1">
      <alignment vertical="center"/>
    </xf>
    <xf numFmtId="177" fontId="8" fillId="0" borderId="158" xfId="4" applyNumberFormat="1" applyFont="1" applyFill="1" applyBorder="1" applyAlignment="1" applyProtection="1">
      <alignment vertical="center" shrinkToFit="1"/>
    </xf>
    <xf numFmtId="176" fontId="8" fillId="0" borderId="21" xfId="4" applyNumberFormat="1" applyFont="1" applyFill="1" applyBorder="1" applyAlignment="1" applyProtection="1">
      <alignment vertical="center"/>
    </xf>
    <xf numFmtId="177" fontId="8" fillId="0" borderId="57" xfId="4" applyNumberFormat="1" applyFont="1" applyFill="1" applyBorder="1" applyAlignment="1" applyProtection="1">
      <alignment vertical="center" shrinkToFit="1"/>
    </xf>
    <xf numFmtId="176" fontId="8" fillId="0" borderId="78" xfId="0" applyNumberFormat="1" applyFont="1" applyBorder="1" applyAlignment="1">
      <alignment vertical="center"/>
    </xf>
    <xf numFmtId="177" fontId="8" fillId="0" borderId="21" xfId="4" applyNumberFormat="1" applyFont="1" applyFill="1" applyBorder="1" applyAlignment="1" applyProtection="1">
      <alignment vertical="center" shrinkToFit="1"/>
    </xf>
    <xf numFmtId="176" fontId="8" fillId="0" borderId="21" xfId="0" applyNumberFormat="1" applyFont="1" applyBorder="1" applyAlignment="1">
      <alignment vertical="center"/>
    </xf>
    <xf numFmtId="177" fontId="8" fillId="0" borderId="25" xfId="4" applyNumberFormat="1" applyFont="1" applyFill="1" applyBorder="1" applyAlignment="1" applyProtection="1">
      <alignment vertical="center" shrinkToFit="1"/>
    </xf>
    <xf numFmtId="176" fontId="8" fillId="0" borderId="123" xfId="0" applyNumberFormat="1" applyFont="1" applyBorder="1" applyAlignment="1">
      <alignment vertical="center"/>
    </xf>
    <xf numFmtId="176" fontId="8" fillId="5" borderId="118" xfId="0" applyNumberFormat="1" applyFont="1" applyFill="1" applyBorder="1" applyAlignment="1" applyProtection="1">
      <alignment vertical="center"/>
      <protection locked="0"/>
    </xf>
    <xf numFmtId="176" fontId="8" fillId="5" borderId="13" xfId="0" applyNumberFormat="1" applyFont="1" applyFill="1" applyBorder="1" applyAlignment="1" applyProtection="1">
      <alignment vertical="center"/>
      <protection locked="0"/>
    </xf>
    <xf numFmtId="176" fontId="8" fillId="5" borderId="123" xfId="0" applyNumberFormat="1" applyFont="1" applyFill="1" applyBorder="1" applyAlignment="1" applyProtection="1">
      <alignment vertical="center"/>
      <protection locked="0"/>
    </xf>
    <xf numFmtId="176" fontId="8" fillId="5" borderId="11"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center" vertical="center"/>
    </xf>
    <xf numFmtId="0" fontId="8" fillId="0" borderId="112" xfId="0" applyFont="1" applyBorder="1" applyAlignment="1">
      <alignment horizontal="left" vertical="center"/>
    </xf>
    <xf numFmtId="0" fontId="0" fillId="0" borderId="112" xfId="0" applyBorder="1" applyAlignment="1">
      <alignment horizontal="center" vertical="center"/>
    </xf>
    <xf numFmtId="0" fontId="0" fillId="0" borderId="5" xfId="0" applyBorder="1" applyAlignment="1">
      <alignment horizontal="center" vertical="center"/>
    </xf>
    <xf numFmtId="176" fontId="0" fillId="0" borderId="55" xfId="4" applyNumberFormat="1" applyFont="1" applyFill="1" applyBorder="1" applyAlignment="1" applyProtection="1">
      <alignment horizontal="center" vertical="center"/>
    </xf>
    <xf numFmtId="0" fontId="8" fillId="0" borderId="20" xfId="0" applyFont="1" applyBorder="1" applyAlignment="1">
      <alignment horizontal="left" vertical="center"/>
    </xf>
    <xf numFmtId="0" fontId="0" fillId="0" borderId="20" xfId="0" applyBorder="1" applyAlignment="1">
      <alignment horizontal="center" vertical="center"/>
    </xf>
    <xf numFmtId="0" fontId="0" fillId="0" borderId="7" xfId="0" applyBorder="1" applyAlignment="1">
      <alignment horizontal="center" vertical="center"/>
    </xf>
    <xf numFmtId="176" fontId="8" fillId="5" borderId="120" xfId="0" applyNumberFormat="1" applyFont="1" applyFill="1" applyBorder="1" applyAlignment="1" applyProtection="1">
      <alignment vertical="center"/>
      <protection locked="0"/>
    </xf>
    <xf numFmtId="176" fontId="8" fillId="5" borderId="18"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right" vertical="center"/>
    </xf>
    <xf numFmtId="0" fontId="0" fillId="0" borderId="112" xfId="0" applyBorder="1" applyAlignment="1">
      <alignment horizontal="right" vertical="center"/>
    </xf>
    <xf numFmtId="0" fontId="0" fillId="0" borderId="5" xfId="0" applyBorder="1" applyAlignment="1">
      <alignment horizontal="right" vertical="center"/>
    </xf>
    <xf numFmtId="176" fontId="8" fillId="0" borderId="11" xfId="4" applyNumberFormat="1" applyFont="1" applyFill="1" applyBorder="1" applyAlignment="1" applyProtection="1">
      <alignment horizontal="right" vertical="center"/>
    </xf>
    <xf numFmtId="177" fontId="8" fillId="0" borderId="53" xfId="4" applyNumberFormat="1" applyFont="1" applyFill="1" applyBorder="1" applyAlignment="1" applyProtection="1">
      <alignment horizontal="right" vertical="center" shrinkToFit="1"/>
    </xf>
    <xf numFmtId="177" fontId="8" fillId="0" borderId="11" xfId="4" applyNumberFormat="1" applyFont="1" applyFill="1" applyBorder="1" applyAlignment="1" applyProtection="1">
      <alignment horizontal="right" vertical="center" shrinkToFit="1"/>
    </xf>
    <xf numFmtId="176" fontId="8" fillId="0" borderId="11" xfId="0" applyNumberFormat="1" applyFont="1" applyBorder="1" applyAlignment="1">
      <alignment horizontal="right" vertical="center"/>
    </xf>
    <xf numFmtId="177" fontId="8" fillId="0" borderId="116" xfId="4" applyNumberFormat="1" applyFont="1" applyFill="1" applyBorder="1" applyAlignment="1" applyProtection="1">
      <alignment horizontal="right" vertical="center" shrinkToFit="1"/>
    </xf>
    <xf numFmtId="0" fontId="0" fillId="0" borderId="0" xfId="0" applyAlignment="1">
      <alignment horizontal="right" vertical="center"/>
    </xf>
    <xf numFmtId="176" fontId="1" fillId="0" borderId="0" xfId="4" applyNumberFormat="1" applyFill="1" applyBorder="1" applyAlignment="1" applyProtection="1">
      <alignment horizontal="right" vertical="center"/>
    </xf>
    <xf numFmtId="0" fontId="0" fillId="0" borderId="55" xfId="0" applyBorder="1" applyAlignment="1">
      <alignment horizontal="center" vertical="center"/>
    </xf>
    <xf numFmtId="176" fontId="8" fillId="5" borderId="120" xfId="0" applyNumberFormat="1" applyFont="1" applyFill="1" applyBorder="1" applyAlignment="1">
      <alignment vertical="center"/>
    </xf>
    <xf numFmtId="176" fontId="8" fillId="5" borderId="18" xfId="0" applyNumberFormat="1" applyFont="1" applyFill="1" applyBorder="1" applyAlignment="1">
      <alignment vertical="center"/>
    </xf>
    <xf numFmtId="176" fontId="8" fillId="0" borderId="74" xfId="4" applyNumberFormat="1" applyFont="1" applyFill="1" applyBorder="1" applyAlignment="1" applyProtection="1">
      <alignment vertical="center"/>
    </xf>
    <xf numFmtId="177" fontId="8" fillId="0" borderId="203" xfId="4" applyNumberFormat="1" applyFont="1" applyFill="1" applyBorder="1" applyAlignment="1" applyProtection="1">
      <alignment vertical="center" shrinkToFit="1"/>
    </xf>
    <xf numFmtId="176" fontId="8" fillId="0" borderId="257" xfId="0" applyNumberFormat="1" applyFont="1" applyBorder="1" applyAlignment="1">
      <alignment vertical="center"/>
    </xf>
    <xf numFmtId="177" fontId="8" fillId="0" borderId="74" xfId="4" applyNumberFormat="1" applyFont="1" applyFill="1" applyBorder="1" applyAlignment="1" applyProtection="1">
      <alignment vertical="center" shrinkToFit="1"/>
    </xf>
    <xf numFmtId="176" fontId="8" fillId="0" borderId="74" xfId="0" applyNumberFormat="1" applyFont="1" applyBorder="1" applyAlignment="1">
      <alignment vertical="center"/>
    </xf>
    <xf numFmtId="177" fontId="8" fillId="0" borderId="258" xfId="4" applyNumberFormat="1" applyFont="1" applyFill="1" applyBorder="1" applyAlignment="1" applyProtection="1">
      <alignment vertical="center" shrinkToFit="1"/>
    </xf>
    <xf numFmtId="177" fontId="8" fillId="0" borderId="50" xfId="4" applyNumberFormat="1" applyFont="1" applyFill="1" applyBorder="1" applyAlignment="1" applyProtection="1">
      <alignment vertical="center" shrinkToFit="1"/>
    </xf>
    <xf numFmtId="176" fontId="8" fillId="0" borderId="210" xfId="4" applyNumberFormat="1" applyFont="1" applyFill="1" applyBorder="1" applyAlignment="1" applyProtection="1">
      <alignment vertical="center"/>
    </xf>
    <xf numFmtId="177" fontId="8" fillId="0" borderId="259" xfId="4" applyNumberFormat="1" applyFont="1" applyFill="1" applyBorder="1" applyAlignment="1" applyProtection="1">
      <alignment vertical="center" shrinkToFit="1"/>
    </xf>
    <xf numFmtId="176" fontId="8" fillId="0" borderId="259" xfId="4" applyNumberFormat="1" applyFont="1" applyFill="1" applyBorder="1" applyAlignment="1" applyProtection="1">
      <alignment vertical="center"/>
    </xf>
    <xf numFmtId="177" fontId="8" fillId="0" borderId="260" xfId="4" applyNumberFormat="1" applyFont="1" applyFill="1" applyBorder="1" applyAlignment="1" applyProtection="1">
      <alignment vertical="center" shrinkToFit="1"/>
    </xf>
    <xf numFmtId="176" fontId="10" fillId="0" borderId="22" xfId="4" applyNumberFormat="1" applyFont="1" applyFill="1" applyBorder="1" applyAlignment="1" applyProtection="1">
      <alignment horizontal="center" vertical="center"/>
    </xf>
    <xf numFmtId="0" fontId="10" fillId="0" borderId="22" xfId="0" applyFont="1" applyBorder="1" applyAlignment="1">
      <alignment horizontal="center" vertical="center"/>
    </xf>
    <xf numFmtId="177" fontId="8" fillId="0" borderId="22" xfId="4" applyNumberFormat="1" applyFont="1" applyFill="1" applyBorder="1" applyAlignment="1" applyProtection="1">
      <alignment vertical="center" shrinkToFit="1"/>
    </xf>
    <xf numFmtId="176" fontId="8" fillId="0" borderId="0" xfId="0" applyNumberFormat="1" applyFont="1" applyAlignment="1">
      <alignment vertical="center"/>
    </xf>
    <xf numFmtId="177" fontId="8" fillId="0"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horizontal="left" vertical="center"/>
    </xf>
    <xf numFmtId="0" fontId="0" fillId="0" borderId="0" xfId="0" applyAlignment="1">
      <alignment horizontal="left" vertical="center"/>
    </xf>
    <xf numFmtId="176" fontId="10" fillId="0" borderId="0" xfId="4" applyNumberFormat="1" applyFont="1" applyFill="1" applyBorder="1" applyAlignment="1" applyProtection="1">
      <alignment horizontal="left" vertical="center"/>
    </xf>
    <xf numFmtId="176" fontId="10" fillId="0" borderId="0" xfId="4" applyNumberFormat="1" applyFont="1" applyFill="1" applyBorder="1" applyAlignment="1" applyProtection="1">
      <alignment horizontal="center" vertical="center"/>
    </xf>
    <xf numFmtId="0" fontId="10" fillId="0" borderId="0" xfId="0" applyFont="1" applyAlignment="1">
      <alignment horizontal="center" vertical="center"/>
    </xf>
    <xf numFmtId="176" fontId="16" fillId="0" borderId="0" xfId="4" applyNumberFormat="1" applyFont="1" applyFill="1" applyBorder="1" applyAlignment="1" applyProtection="1">
      <alignment horizontal="left" vertical="center"/>
    </xf>
    <xf numFmtId="176" fontId="8" fillId="0" borderId="0" xfId="0" applyNumberFormat="1" applyFont="1" applyAlignment="1">
      <alignment horizontal="center" vertical="center"/>
    </xf>
    <xf numFmtId="177" fontId="8" fillId="0" borderId="2" xfId="4" applyNumberFormat="1" applyFont="1" applyFill="1" applyBorder="1" applyAlignment="1" applyProtection="1">
      <alignment horizontal="center" vertical="center" shrinkToFit="1"/>
    </xf>
    <xf numFmtId="177" fontId="8" fillId="5" borderId="2" xfId="0" applyNumberFormat="1" applyFont="1" applyFill="1" applyBorder="1" applyAlignment="1" applyProtection="1">
      <alignment vertical="center"/>
      <protection locked="0"/>
    </xf>
    <xf numFmtId="176" fontId="8" fillId="0" borderId="0" xfId="4" applyNumberFormat="1" applyFont="1" applyFill="1" applyBorder="1" applyAlignment="1" applyProtection="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center" shrinkToFit="1"/>
    </xf>
    <xf numFmtId="177" fontId="8" fillId="0" borderId="0" xfId="0" applyNumberFormat="1" applyFont="1" applyAlignment="1">
      <alignment vertical="center"/>
    </xf>
    <xf numFmtId="177" fontId="8" fillId="17" borderId="11" xfId="0" applyNumberFormat="1" applyFont="1" applyFill="1" applyBorder="1" applyAlignment="1" applyProtection="1">
      <alignment vertical="center"/>
      <protection locked="0"/>
    </xf>
    <xf numFmtId="177" fontId="8" fillId="17" borderId="12" xfId="0" applyNumberFormat="1" applyFont="1" applyFill="1" applyBorder="1" applyAlignment="1" applyProtection="1">
      <alignment vertical="center"/>
      <protection locked="0"/>
    </xf>
    <xf numFmtId="177" fontId="8" fillId="0" borderId="26" xfId="4" applyNumberFormat="1" applyFont="1" applyFill="1" applyBorder="1" applyAlignment="1" applyProtection="1">
      <alignment vertical="center" shrinkToFit="1"/>
    </xf>
    <xf numFmtId="177" fontId="8" fillId="17" borderId="26" xfId="0" applyNumberFormat="1" applyFont="1" applyFill="1" applyBorder="1" applyAlignment="1" applyProtection="1">
      <alignment vertical="center"/>
      <protection locked="0"/>
    </xf>
    <xf numFmtId="177" fontId="8" fillId="17" borderId="18" xfId="0" applyNumberFormat="1" applyFont="1" applyFill="1" applyBorder="1" applyAlignment="1" applyProtection="1">
      <alignment vertical="center"/>
      <protection locked="0"/>
    </xf>
    <xf numFmtId="0" fontId="8" fillId="0" borderId="0" xfId="0" applyFont="1" applyAlignment="1">
      <alignment vertical="center" shrinkToFit="1"/>
    </xf>
    <xf numFmtId="193" fontId="8" fillId="0" borderId="18" xfId="4" applyNumberFormat="1" applyFont="1" applyFill="1" applyBorder="1" applyAlignment="1" applyProtection="1">
      <alignment vertical="center"/>
    </xf>
    <xf numFmtId="193" fontId="8" fillId="5" borderId="18" xfId="0" applyNumberFormat="1" applyFont="1" applyFill="1" applyBorder="1" applyAlignment="1" applyProtection="1">
      <alignment vertical="center"/>
      <protection locked="0"/>
    </xf>
    <xf numFmtId="0" fontId="8" fillId="0" borderId="1" xfId="0" applyFont="1" applyBorder="1" applyAlignment="1">
      <alignment horizontal="left" vertical="center" shrinkToFit="1"/>
    </xf>
    <xf numFmtId="0" fontId="8" fillId="0" borderId="1" xfId="0" applyFont="1" applyBorder="1" applyAlignment="1">
      <alignment vertical="center" shrinkToFit="1"/>
    </xf>
    <xf numFmtId="177" fontId="8" fillId="0" borderId="11" xfId="4" applyNumberFormat="1" applyFont="1" applyFill="1" applyBorder="1" applyAlignment="1" applyProtection="1">
      <alignment horizontal="center" vertical="center" shrinkToFit="1"/>
    </xf>
    <xf numFmtId="177" fontId="8" fillId="0" borderId="18" xfId="4" applyNumberFormat="1" applyFont="1" applyFill="1" applyBorder="1" applyAlignment="1" applyProtection="1">
      <alignment horizontal="center" vertical="center" shrinkToFit="1"/>
    </xf>
    <xf numFmtId="176" fontId="8" fillId="5" borderId="12" xfId="0" applyNumberFormat="1" applyFont="1" applyFill="1" applyBorder="1" applyAlignment="1" applyProtection="1">
      <alignment vertical="center"/>
      <protection locked="0"/>
    </xf>
    <xf numFmtId="177" fontId="8" fillId="0" borderId="12" xfId="4" applyNumberFormat="1" applyFont="1" applyFill="1" applyBorder="1" applyAlignment="1" applyProtection="1">
      <alignment horizontal="center" vertical="center" shrinkToFit="1"/>
    </xf>
    <xf numFmtId="0" fontId="10" fillId="0" borderId="0" xfId="0" applyFont="1" applyAlignment="1">
      <alignment horizontal="left" vertical="center" shrinkToFit="1"/>
    </xf>
    <xf numFmtId="0" fontId="0" fillId="0" borderId="0" xfId="0" applyAlignment="1">
      <alignment vertical="center" shrinkToFit="1"/>
    </xf>
    <xf numFmtId="177" fontId="8" fillId="0" borderId="0" xfId="4" applyNumberFormat="1" applyFont="1" applyFill="1" applyBorder="1" applyAlignment="1" applyProtection="1">
      <alignment horizontal="center" vertical="center" shrinkToFit="1"/>
    </xf>
    <xf numFmtId="0" fontId="29" fillId="0" borderId="0" xfId="0" applyFont="1" applyAlignment="1">
      <alignment vertical="center"/>
    </xf>
    <xf numFmtId="176" fontId="29" fillId="0" borderId="0" xfId="0" applyNumberFormat="1" applyFont="1" applyAlignment="1">
      <alignment vertical="center"/>
    </xf>
    <xf numFmtId="177" fontId="29" fillId="0" borderId="0" xfId="0" applyNumberFormat="1" applyFont="1" applyAlignment="1">
      <alignment vertical="center"/>
    </xf>
    <xf numFmtId="0" fontId="8" fillId="18" borderId="0" xfId="0" applyFont="1" applyFill="1" applyAlignment="1">
      <alignment vertical="center"/>
    </xf>
    <xf numFmtId="0" fontId="39" fillId="19" borderId="0" xfId="0" applyFont="1" applyFill="1" applyAlignment="1">
      <alignment vertical="center"/>
    </xf>
    <xf numFmtId="0" fontId="8" fillId="19" borderId="0" xfId="0" applyFont="1" applyFill="1" applyAlignment="1" applyProtection="1">
      <alignment vertical="center"/>
      <protection locked="0"/>
    </xf>
    <xf numFmtId="0" fontId="8" fillId="19" borderId="0" xfId="0" applyFont="1" applyFill="1" applyAlignment="1">
      <alignment vertical="center"/>
    </xf>
    <xf numFmtId="0" fontId="39" fillId="18" borderId="0" xfId="0" applyFont="1" applyFill="1" applyAlignment="1">
      <alignment vertical="center"/>
    </xf>
    <xf numFmtId="0" fontId="39" fillId="19" borderId="0" xfId="0" applyFont="1" applyFill="1" applyAlignment="1">
      <alignment horizontal="center" vertical="center"/>
    </xf>
    <xf numFmtId="0" fontId="40" fillId="18" borderId="0" xfId="0" applyFont="1" applyFill="1" applyAlignment="1">
      <alignment vertical="center"/>
    </xf>
    <xf numFmtId="0" fontId="39" fillId="18" borderId="0" xfId="0" applyFont="1" applyFill="1" applyAlignment="1">
      <alignment horizontal="center" vertical="center"/>
    </xf>
    <xf numFmtId="0" fontId="41" fillId="18" borderId="0" xfId="0" applyFont="1" applyFill="1" applyAlignment="1">
      <alignment vertical="center"/>
    </xf>
    <xf numFmtId="0" fontId="40" fillId="19" borderId="0" xfId="0" applyFont="1" applyFill="1" applyAlignment="1">
      <alignment vertical="center"/>
    </xf>
    <xf numFmtId="0" fontId="10" fillId="18" borderId="0" xfId="0" applyFont="1" applyFill="1" applyAlignment="1">
      <alignment vertical="center"/>
    </xf>
    <xf numFmtId="0" fontId="10" fillId="19" borderId="0" xfId="2" applyNumberFormat="1" applyFont="1" applyFill="1" applyAlignment="1" applyProtection="1">
      <alignment vertical="center"/>
    </xf>
    <xf numFmtId="0" fontId="10" fillId="19" borderId="0" xfId="0" applyFont="1" applyFill="1" applyAlignment="1">
      <alignment vertical="center"/>
    </xf>
    <xf numFmtId="0" fontId="10" fillId="19" borderId="0" xfId="0" applyFont="1" applyFill="1" applyAlignment="1">
      <alignment horizontal="right" vertical="center"/>
    </xf>
    <xf numFmtId="0" fontId="42" fillId="0" borderId="0" xfId="2" applyNumberFormat="1" applyFont="1" applyFill="1" applyAlignment="1" applyProtection="1">
      <alignment vertical="center"/>
    </xf>
    <xf numFmtId="0" fontId="10" fillId="19" borderId="0" xfId="0" applyFont="1" applyFill="1" applyAlignment="1">
      <alignment horizontal="right" shrinkToFit="1"/>
    </xf>
    <xf numFmtId="0" fontId="10" fillId="20" borderId="80" xfId="0" applyFont="1" applyFill="1" applyBorder="1" applyAlignment="1">
      <alignment horizontal="center" vertical="center"/>
    </xf>
    <xf numFmtId="0" fontId="10" fillId="20" borderId="57" xfId="0" applyFont="1" applyFill="1" applyBorder="1" applyAlignment="1">
      <alignment horizontal="center" vertical="center"/>
    </xf>
    <xf numFmtId="0" fontId="10" fillId="20" borderId="25" xfId="0" applyFont="1" applyFill="1" applyBorder="1" applyAlignment="1">
      <alignment horizontal="center" vertical="center"/>
    </xf>
    <xf numFmtId="0" fontId="10" fillId="20" borderId="261" xfId="0" applyFont="1" applyFill="1" applyBorder="1" applyAlignment="1">
      <alignment horizontal="left" vertical="center"/>
    </xf>
    <xf numFmtId="0" fontId="10" fillId="0" borderId="29" xfId="0" applyFont="1" applyBorder="1" applyProtection="1">
      <protection locked="0"/>
    </xf>
    <xf numFmtId="0" fontId="10" fillId="19" borderId="29" xfId="2" applyNumberFormat="1" applyFont="1" applyFill="1" applyBorder="1" applyAlignment="1" applyProtection="1">
      <alignment horizontal="right" vertical="center"/>
      <protection locked="0"/>
    </xf>
    <xf numFmtId="0" fontId="10" fillId="6" borderId="243" xfId="2" applyNumberFormat="1" applyFont="1" applyFill="1" applyBorder="1" applyAlignment="1" applyProtection="1">
      <alignment vertical="center"/>
    </xf>
    <xf numFmtId="0" fontId="10" fillId="19" borderId="262" xfId="2" applyNumberFormat="1" applyFont="1" applyFill="1" applyBorder="1" applyAlignment="1" applyProtection="1">
      <alignment vertical="center"/>
      <protection locked="0"/>
    </xf>
    <xf numFmtId="0" fontId="10" fillId="19" borderId="17" xfId="2" applyNumberFormat="1" applyFont="1" applyFill="1" applyBorder="1" applyAlignment="1" applyProtection="1">
      <alignment horizontal="right" vertical="center"/>
      <protection locked="0"/>
    </xf>
    <xf numFmtId="0" fontId="10" fillId="20" borderId="85" xfId="0" applyFont="1" applyFill="1" applyBorder="1" applyAlignment="1">
      <alignment horizontal="left" vertical="center"/>
    </xf>
    <xf numFmtId="0" fontId="10" fillId="0" borderId="8" xfId="0" applyFont="1" applyBorder="1" applyProtection="1">
      <protection locked="0"/>
    </xf>
    <xf numFmtId="0" fontId="10" fillId="19" borderId="8" xfId="2" applyNumberFormat="1" applyFont="1" applyFill="1" applyBorder="1" applyAlignment="1" applyProtection="1">
      <alignment horizontal="right" vertical="center"/>
      <protection locked="0"/>
    </xf>
    <xf numFmtId="0" fontId="10" fillId="6" borderId="206" xfId="2" applyNumberFormat="1" applyFont="1" applyFill="1" applyBorder="1" applyAlignment="1" applyProtection="1">
      <alignment vertical="center"/>
    </xf>
    <xf numFmtId="0" fontId="10" fillId="19" borderId="122" xfId="2" applyNumberFormat="1" applyFont="1" applyFill="1" applyBorder="1" applyAlignment="1" applyProtection="1">
      <alignment vertical="center"/>
      <protection locked="0"/>
    </xf>
    <xf numFmtId="0" fontId="10" fillId="19" borderId="2" xfId="2" applyNumberFormat="1" applyFont="1" applyFill="1" applyBorder="1" applyAlignment="1" applyProtection="1">
      <alignment vertical="center"/>
      <protection locked="0"/>
    </xf>
    <xf numFmtId="0" fontId="10" fillId="6" borderId="206" xfId="0" applyFont="1" applyFill="1" applyBorder="1"/>
    <xf numFmtId="0" fontId="10" fillId="19" borderId="2" xfId="2" applyNumberFormat="1" applyFont="1" applyFill="1" applyBorder="1" applyAlignment="1" applyProtection="1">
      <alignment horizontal="right" vertical="center"/>
      <protection locked="0"/>
    </xf>
    <xf numFmtId="0" fontId="10" fillId="19" borderId="157" xfId="2" applyNumberFormat="1" applyFont="1" applyFill="1" applyBorder="1" applyAlignment="1" applyProtection="1">
      <alignment vertical="center"/>
      <protection locked="0"/>
    </xf>
    <xf numFmtId="0" fontId="10" fillId="19" borderId="4" xfId="2" applyNumberFormat="1" applyFont="1" applyFill="1" applyBorder="1" applyAlignment="1" applyProtection="1">
      <alignment horizontal="right" vertical="center"/>
      <protection locked="0"/>
    </xf>
    <xf numFmtId="0" fontId="10" fillId="6" borderId="263" xfId="0" applyFont="1" applyFill="1" applyBorder="1"/>
    <xf numFmtId="0" fontId="10" fillId="6" borderId="78" xfId="2" applyNumberFormat="1" applyFont="1" applyFill="1" applyBorder="1" applyAlignment="1" applyProtection="1">
      <alignment horizontal="right" vertical="center"/>
    </xf>
    <xf numFmtId="0" fontId="10" fillId="6" borderId="21" xfId="2" applyNumberFormat="1" applyFont="1" applyFill="1" applyBorder="1" applyAlignment="1" applyProtection="1">
      <alignment horizontal="right" vertical="center"/>
    </xf>
    <xf numFmtId="0" fontId="10" fillId="6" borderId="179" xfId="0" applyFont="1" applyFill="1" applyBorder="1"/>
    <xf numFmtId="0" fontId="10" fillId="20" borderId="88" xfId="0" applyFont="1" applyFill="1" applyBorder="1" applyAlignment="1">
      <alignment horizontal="left" vertical="center"/>
    </xf>
    <xf numFmtId="0" fontId="10" fillId="0" borderId="10" xfId="0" applyFont="1" applyBorder="1" applyProtection="1">
      <protection locked="0"/>
    </xf>
    <xf numFmtId="0" fontId="10" fillId="19" borderId="10" xfId="2" applyNumberFormat="1" applyFont="1" applyFill="1" applyBorder="1" applyAlignment="1" applyProtection="1">
      <alignment horizontal="right" vertical="center"/>
      <protection locked="0"/>
    </xf>
    <xf numFmtId="0" fontId="10" fillId="6" borderId="263" xfId="2" applyNumberFormat="1" applyFont="1" applyFill="1" applyBorder="1" applyAlignment="1" applyProtection="1">
      <alignment vertical="center"/>
    </xf>
    <xf numFmtId="0" fontId="10" fillId="6" borderId="243" xfId="0" applyFont="1" applyFill="1" applyBorder="1"/>
    <xf numFmtId="0" fontId="10" fillId="6" borderId="56" xfId="2" applyNumberFormat="1" applyFont="1" applyFill="1" applyBorder="1" applyAlignment="1" applyProtection="1">
      <alignment vertical="center"/>
    </xf>
    <xf numFmtId="0" fontId="10" fillId="6" borderId="179" xfId="2" applyNumberFormat="1" applyFont="1" applyFill="1" applyBorder="1" applyAlignment="1" applyProtection="1">
      <alignment vertical="center"/>
    </xf>
    <xf numFmtId="0" fontId="10" fillId="19" borderId="29" xfId="2" applyNumberFormat="1" applyFont="1" applyFill="1" applyBorder="1" applyAlignment="1" applyProtection="1">
      <alignment vertical="center"/>
      <protection locked="0"/>
    </xf>
    <xf numFmtId="0" fontId="10" fillId="19" borderId="8" xfId="2" applyNumberFormat="1" applyFont="1" applyFill="1" applyBorder="1" applyAlignment="1" applyProtection="1">
      <alignment vertical="center"/>
      <protection locked="0"/>
    </xf>
    <xf numFmtId="0" fontId="10" fillId="19" borderId="10" xfId="2" applyNumberFormat="1" applyFont="1" applyFill="1" applyBorder="1" applyAlignment="1" applyProtection="1">
      <alignment vertical="center"/>
      <protection locked="0"/>
    </xf>
    <xf numFmtId="0" fontId="10" fillId="6" borderId="56" xfId="0" applyFont="1" applyFill="1" applyBorder="1" applyAlignment="1">
      <alignment vertical="center"/>
    </xf>
    <xf numFmtId="0" fontId="10" fillId="20" borderId="223" xfId="0" applyFont="1" applyFill="1" applyBorder="1" applyAlignment="1">
      <alignment horizontal="left" vertical="center"/>
    </xf>
    <xf numFmtId="0" fontId="10" fillId="0" borderId="27" xfId="0" applyFont="1" applyBorder="1" applyAlignment="1" applyProtection="1">
      <alignment vertical="center"/>
      <protection locked="0"/>
    </xf>
    <xf numFmtId="0" fontId="10" fillId="19" borderId="27" xfId="2" applyNumberFormat="1" applyFont="1" applyFill="1" applyBorder="1" applyAlignment="1" applyProtection="1">
      <alignment vertical="center"/>
      <protection locked="0"/>
    </xf>
    <xf numFmtId="0" fontId="10" fillId="6" borderId="209" xfId="2" applyNumberFormat="1" applyFont="1" applyFill="1" applyBorder="1" applyAlignment="1" applyProtection="1">
      <alignment vertical="center"/>
    </xf>
    <xf numFmtId="0" fontId="10" fillId="0" borderId="0" xfId="0" applyFont="1" applyAlignment="1">
      <alignment horizontal="left" vertical="center"/>
    </xf>
    <xf numFmtId="0" fontId="10" fillId="0" borderId="0" xfId="2" applyNumberFormat="1" applyFont="1" applyFill="1" applyBorder="1" applyAlignment="1" applyProtection="1">
      <alignment vertical="center"/>
    </xf>
    <xf numFmtId="0" fontId="43" fillId="19" borderId="0" xfId="0" applyFont="1" applyFill="1" applyProtection="1">
      <protection hidden="1"/>
    </xf>
    <xf numFmtId="0" fontId="10" fillId="19" borderId="0" xfId="2" applyNumberFormat="1" applyFont="1" applyFill="1" applyAlignment="1" applyProtection="1"/>
    <xf numFmtId="0" fontId="10" fillId="19" borderId="0" xfId="0" applyFont="1" applyFill="1" applyAlignment="1">
      <alignment horizontal="right"/>
    </xf>
    <xf numFmtId="0" fontId="10" fillId="19" borderId="0" xfId="0" applyFont="1" applyFill="1"/>
    <xf numFmtId="0" fontId="10" fillId="20" borderId="0" xfId="0" applyFont="1" applyFill="1" applyAlignment="1">
      <alignment horizontal="right" shrinkToFit="1"/>
    </xf>
    <xf numFmtId="0" fontId="43" fillId="19" borderId="0" xfId="2" applyNumberFormat="1" applyFont="1" applyFill="1" applyAlignment="1" applyProtection="1">
      <alignment vertical="center"/>
      <protection hidden="1"/>
    </xf>
    <xf numFmtId="0" fontId="10" fillId="20" borderId="77" xfId="0" applyFont="1" applyFill="1" applyBorder="1" applyAlignment="1">
      <alignment horizontal="center" vertical="center" shrinkToFit="1"/>
    </xf>
    <xf numFmtId="0" fontId="10" fillId="20" borderId="57" xfId="0" applyFont="1" applyFill="1" applyBorder="1" applyAlignment="1">
      <alignment horizontal="center" vertical="center" shrinkToFit="1"/>
    </xf>
    <xf numFmtId="0" fontId="10" fillId="20" borderId="261" xfId="0" applyFont="1" applyFill="1" applyBorder="1" applyAlignment="1">
      <alignment vertical="center"/>
    </xf>
    <xf numFmtId="0" fontId="10" fillId="0" borderId="38" xfId="0" applyFont="1" applyBorder="1" applyAlignment="1" applyProtection="1">
      <alignment vertical="center"/>
      <protection locked="0"/>
    </xf>
    <xf numFmtId="0" fontId="10" fillId="6" borderId="168" xfId="2" applyNumberFormat="1" applyFont="1" applyFill="1" applyBorder="1" applyAlignment="1" applyProtection="1">
      <alignment vertical="center"/>
    </xf>
    <xf numFmtId="0" fontId="10" fillId="20" borderId="88" xfId="0" applyFont="1" applyFill="1" applyBorder="1" applyAlignment="1">
      <alignment vertical="center"/>
    </xf>
    <xf numFmtId="0" fontId="10" fillId="19" borderId="22" xfId="2" applyNumberFormat="1" applyFont="1" applyFill="1" applyBorder="1" applyAlignment="1" applyProtection="1">
      <alignment horizontal="right" vertical="center"/>
      <protection locked="0"/>
    </xf>
    <xf numFmtId="0" fontId="10" fillId="6" borderId="158" xfId="2" applyNumberFormat="1" applyFont="1" applyFill="1" applyBorder="1" applyAlignment="1" applyProtection="1">
      <alignment vertical="center"/>
    </xf>
    <xf numFmtId="0" fontId="10" fillId="6" borderId="150" xfId="2" applyNumberFormat="1" applyFont="1" applyFill="1" applyBorder="1" applyAlignment="1" applyProtection="1">
      <alignment vertical="center"/>
    </xf>
    <xf numFmtId="0" fontId="10" fillId="6" borderId="25" xfId="2" applyNumberFormat="1" applyFont="1" applyFill="1" applyBorder="1" applyAlignment="1" applyProtection="1">
      <alignment vertical="center"/>
    </xf>
    <xf numFmtId="0" fontId="10" fillId="20" borderId="223" xfId="0" applyFont="1" applyFill="1" applyBorder="1" applyAlignment="1">
      <alignment vertical="center"/>
    </xf>
    <xf numFmtId="0" fontId="10" fillId="19" borderId="0" xfId="2" applyNumberFormat="1" applyFont="1" applyFill="1" applyBorder="1" applyAlignment="1" applyProtection="1">
      <alignment horizontal="right" vertical="center"/>
      <protection locked="0"/>
    </xf>
    <xf numFmtId="0" fontId="10" fillId="6" borderId="173" xfId="2" applyNumberFormat="1" applyFont="1" applyFill="1" applyBorder="1" applyAlignment="1" applyProtection="1">
      <alignment vertical="center"/>
    </xf>
    <xf numFmtId="0" fontId="10" fillId="19" borderId="38" xfId="2" applyNumberFormat="1" applyFont="1" applyFill="1" applyBorder="1" applyAlignment="1" applyProtection="1">
      <alignment horizontal="right" vertical="center"/>
      <protection locked="0"/>
    </xf>
    <xf numFmtId="0" fontId="10" fillId="19" borderId="0" xfId="2" applyNumberFormat="1" applyFont="1" applyFill="1" applyBorder="1" applyAlignment="1" applyProtection="1">
      <alignment vertical="center"/>
    </xf>
    <xf numFmtId="0" fontId="10" fillId="20" borderId="261" xfId="2" applyNumberFormat="1" applyFont="1" applyFill="1" applyBorder="1" applyAlignment="1">
      <alignment vertical="center"/>
    </xf>
    <xf numFmtId="0" fontId="10" fillId="20" borderId="88" xfId="2" applyNumberFormat="1" applyFont="1" applyFill="1" applyBorder="1" applyAlignment="1">
      <alignment vertical="center"/>
    </xf>
    <xf numFmtId="0" fontId="10" fillId="20" borderId="223" xfId="2" applyNumberFormat="1" applyFont="1" applyFill="1" applyBorder="1" applyAlignment="1">
      <alignment vertical="center" shrinkToFit="1"/>
    </xf>
    <xf numFmtId="0" fontId="10" fillId="6" borderId="150" xfId="2" applyNumberFormat="1" applyFont="1" applyFill="1" applyBorder="1" applyAlignment="1" applyProtection="1">
      <alignment horizontal="right" vertical="center"/>
    </xf>
    <xf numFmtId="0" fontId="10" fillId="0" borderId="0" xfId="0" applyFont="1" applyAlignment="1">
      <alignment vertical="center"/>
    </xf>
    <xf numFmtId="0" fontId="10" fillId="0" borderId="0" xfId="2" applyNumberFormat="1" applyFont="1" applyFill="1" applyBorder="1" applyAlignment="1" applyProtection="1">
      <alignment horizontal="right" vertical="center"/>
    </xf>
    <xf numFmtId="0" fontId="10" fillId="0" borderId="0" xfId="2" applyNumberFormat="1" applyFont="1" applyFill="1" applyBorder="1" applyAlignment="1" applyProtection="1">
      <alignment vertical="center"/>
      <protection locked="0"/>
    </xf>
    <xf numFmtId="0" fontId="10" fillId="19" borderId="0" xfId="2" applyNumberFormat="1" applyFont="1" applyFill="1" applyBorder="1" applyAlignment="1">
      <alignment vertical="center"/>
    </xf>
    <xf numFmtId="0" fontId="10" fillId="19" borderId="0" xfId="0" applyFont="1" applyFill="1" applyAlignment="1" applyProtection="1">
      <alignment vertical="center"/>
      <protection locked="0"/>
    </xf>
    <xf numFmtId="0" fontId="10" fillId="20" borderId="220" xfId="2" applyNumberFormat="1" applyFont="1" applyFill="1" applyBorder="1" applyAlignment="1">
      <alignment vertical="center"/>
    </xf>
    <xf numFmtId="0" fontId="10" fillId="0" borderId="187" xfId="0" applyFont="1" applyBorder="1" applyAlignment="1" applyProtection="1">
      <alignment vertical="center"/>
      <protection locked="0"/>
    </xf>
    <xf numFmtId="0" fontId="10" fillId="0" borderId="264" xfId="0" applyFont="1" applyBorder="1" applyAlignment="1" applyProtection="1">
      <alignment vertical="center"/>
      <protection locked="0"/>
    </xf>
    <xf numFmtId="0" fontId="10" fillId="6" borderId="226" xfId="0" applyFont="1" applyFill="1" applyBorder="1" applyAlignment="1">
      <alignment vertical="center"/>
    </xf>
    <xf numFmtId="0" fontId="10" fillId="0" borderId="0" xfId="0" applyFont="1" applyAlignment="1" applyProtection="1">
      <alignment vertical="center"/>
      <protection locked="0"/>
    </xf>
    <xf numFmtId="0" fontId="10" fillId="20" borderId="224" xfId="2" applyNumberFormat="1" applyFont="1" applyFill="1" applyBorder="1" applyAlignment="1">
      <alignment vertical="center"/>
    </xf>
    <xf numFmtId="0" fontId="10" fillId="0" borderId="69" xfId="0" applyFont="1" applyBorder="1" applyAlignment="1" applyProtection="1">
      <alignment vertical="center"/>
      <protection locked="0"/>
    </xf>
    <xf numFmtId="0" fontId="10" fillId="0" borderId="175" xfId="0" applyFont="1" applyBorder="1" applyAlignment="1" applyProtection="1">
      <alignment vertical="center"/>
      <protection locked="0"/>
    </xf>
    <xf numFmtId="0" fontId="10" fillId="6" borderId="211" xfId="0" applyFont="1" applyFill="1" applyBorder="1" applyAlignment="1">
      <alignment vertical="center"/>
    </xf>
    <xf numFmtId="0" fontId="10" fillId="20" borderId="0" xfId="0" applyFont="1" applyFill="1" applyAlignment="1">
      <alignment horizontal="right" vertical="center" shrinkToFit="1"/>
    </xf>
    <xf numFmtId="0" fontId="0" fillId="0" borderId="216" xfId="0" applyBorder="1" applyAlignment="1">
      <alignment horizontal="center" vertical="center" wrapText="1"/>
    </xf>
    <xf numFmtId="0" fontId="5" fillId="20" borderId="265" xfId="0" applyFont="1" applyFill="1" applyBorder="1" applyAlignment="1">
      <alignment horizontal="center" vertical="center" shrinkToFit="1"/>
    </xf>
    <xf numFmtId="0" fontId="10" fillId="18" borderId="0" xfId="0" applyFont="1" applyFill="1" applyAlignment="1">
      <alignment vertical="center" wrapText="1"/>
    </xf>
    <xf numFmtId="0" fontId="10" fillId="20" borderId="220" xfId="0" applyFont="1" applyFill="1" applyBorder="1" applyAlignment="1">
      <alignment vertical="center" wrapText="1"/>
    </xf>
    <xf numFmtId="0" fontId="10" fillId="6" borderId="187" xfId="0" applyFont="1" applyFill="1" applyBorder="1" applyAlignment="1">
      <alignment vertical="center"/>
    </xf>
    <xf numFmtId="0" fontId="10" fillId="6" borderId="264" xfId="0" applyFont="1" applyFill="1" applyBorder="1" applyAlignment="1">
      <alignment vertical="center" wrapText="1"/>
    </xf>
    <xf numFmtId="0" fontId="10" fillId="19" borderId="187" xfId="2" applyNumberFormat="1" applyFont="1" applyFill="1" applyBorder="1" applyAlignment="1" applyProtection="1">
      <alignment vertical="center" wrapText="1"/>
      <protection locked="0"/>
    </xf>
    <xf numFmtId="0" fontId="10" fillId="19" borderId="264" xfId="0" applyFont="1" applyFill="1" applyBorder="1" applyAlignment="1" applyProtection="1">
      <alignment vertical="center"/>
      <protection locked="0"/>
    </xf>
    <xf numFmtId="0" fontId="44" fillId="6" borderId="264" xfId="0" applyFont="1" applyFill="1" applyBorder="1" applyAlignment="1">
      <alignment vertical="center" wrapText="1"/>
    </xf>
    <xf numFmtId="0" fontId="10" fillId="6" borderId="186" xfId="2" applyNumberFormat="1" applyFont="1" applyFill="1" applyBorder="1" applyAlignment="1" applyProtection="1">
      <alignment vertical="center" wrapText="1"/>
    </xf>
    <xf numFmtId="0" fontId="10" fillId="6" borderId="226" xfId="0" applyFont="1" applyFill="1" applyBorder="1" applyAlignment="1">
      <alignment vertical="center" wrapText="1"/>
    </xf>
    <xf numFmtId="0" fontId="10" fillId="20" borderId="85" xfId="0" applyFont="1" applyFill="1" applyBorder="1" applyAlignment="1">
      <alignment vertical="center" wrapText="1"/>
    </xf>
    <xf numFmtId="0" fontId="10" fillId="6" borderId="1" xfId="0" applyFont="1" applyFill="1" applyBorder="1" applyAlignment="1">
      <alignment vertical="center"/>
    </xf>
    <xf numFmtId="0" fontId="10" fillId="6" borderId="2" xfId="0" applyFont="1" applyFill="1" applyBorder="1" applyAlignment="1">
      <alignment vertical="center" wrapText="1"/>
    </xf>
    <xf numFmtId="0" fontId="10" fillId="6" borderId="1" xfId="0" applyFont="1" applyFill="1" applyBorder="1" applyAlignment="1">
      <alignment vertical="center" wrapText="1"/>
    </xf>
    <xf numFmtId="0" fontId="10" fillId="6" borderId="2" xfId="0" applyFont="1" applyFill="1" applyBorder="1" applyAlignment="1">
      <alignment vertical="center"/>
    </xf>
    <xf numFmtId="0" fontId="10" fillId="6" borderId="24" xfId="2" applyNumberFormat="1" applyFont="1" applyFill="1" applyBorder="1" applyAlignment="1" applyProtection="1">
      <alignment vertical="center" wrapText="1"/>
    </xf>
    <xf numFmtId="0" fontId="10" fillId="6" borderId="206" xfId="0" applyFont="1" applyFill="1" applyBorder="1" applyAlignment="1">
      <alignment vertical="center" wrapText="1"/>
    </xf>
    <xf numFmtId="0" fontId="10" fillId="20" borderId="85" xfId="0" applyFont="1" applyFill="1" applyBorder="1" applyAlignment="1">
      <alignment vertical="center" wrapText="1" shrinkToFit="1"/>
    </xf>
    <xf numFmtId="0" fontId="10" fillId="6" borderId="4" xfId="2" applyNumberFormat="1" applyFont="1" applyFill="1" applyBorder="1" applyAlignment="1" applyProtection="1">
      <alignment vertical="center" wrapText="1"/>
    </xf>
    <xf numFmtId="0" fontId="10" fillId="6" borderId="2" xfId="2" applyNumberFormat="1" applyFont="1" applyFill="1" applyBorder="1" applyAlignment="1" applyProtection="1">
      <alignment vertical="center" wrapText="1"/>
    </xf>
    <xf numFmtId="0" fontId="10" fillId="20" borderId="85" xfId="0" applyFont="1" applyFill="1" applyBorder="1" applyAlignment="1">
      <alignment vertical="center" shrinkToFit="1"/>
    </xf>
    <xf numFmtId="0" fontId="10" fillId="6" borderId="17" xfId="2" applyNumberFormat="1" applyFont="1" applyFill="1" applyBorder="1" applyAlignment="1" applyProtection="1">
      <alignment vertical="center" wrapText="1"/>
    </xf>
    <xf numFmtId="0" fontId="10" fillId="6" borderId="50" xfId="2" applyNumberFormat="1" applyFont="1" applyFill="1" applyBorder="1" applyAlignment="1" applyProtection="1">
      <alignment vertical="center" wrapText="1"/>
    </xf>
    <xf numFmtId="0" fontId="10" fillId="20" borderId="221" xfId="0" applyFont="1" applyFill="1" applyBorder="1" applyAlignment="1">
      <alignment vertical="center" wrapText="1"/>
    </xf>
    <xf numFmtId="0" fontId="10" fillId="6" borderId="66"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wrapText="1"/>
    </xf>
    <xf numFmtId="0" fontId="10" fillId="6" borderId="266" xfId="2" applyNumberFormat="1" applyFont="1" applyFill="1" applyBorder="1" applyAlignment="1" applyProtection="1">
      <alignment vertical="center"/>
    </xf>
    <xf numFmtId="0" fontId="8" fillId="18" borderId="0" xfId="0" applyFont="1" applyFill="1" applyAlignment="1" applyProtection="1">
      <alignment vertical="center"/>
      <protection locked="0"/>
    </xf>
    <xf numFmtId="0" fontId="42" fillId="18" borderId="0" xfId="0" applyFont="1" applyFill="1" applyAlignment="1">
      <alignment horizontal="left" vertical="center"/>
    </xf>
    <xf numFmtId="0" fontId="8" fillId="19" borderId="0" xfId="0" applyFont="1" applyFill="1" applyAlignment="1">
      <alignment horizontal="center" vertical="center"/>
    </xf>
    <xf numFmtId="0" fontId="8" fillId="19" borderId="0" xfId="0" applyFont="1" applyFill="1" applyAlignment="1">
      <alignment horizontal="right" vertical="center"/>
    </xf>
    <xf numFmtId="0" fontId="47" fillId="18" borderId="0" xfId="0" applyFont="1" applyFill="1" applyAlignment="1">
      <alignment horizontal="left" vertical="center"/>
    </xf>
    <xf numFmtId="0" fontId="48" fillId="18" borderId="0" xfId="0" applyFont="1" applyFill="1" applyAlignment="1">
      <alignment vertical="center"/>
    </xf>
    <xf numFmtId="0" fontId="8" fillId="18" borderId="0" xfId="0" applyFont="1" applyFill="1" applyAlignment="1">
      <alignment horizontal="center" vertical="center"/>
    </xf>
    <xf numFmtId="0" fontId="8" fillId="19" borderId="222" xfId="0" applyFont="1" applyFill="1" applyBorder="1" applyAlignment="1">
      <alignment horizontal="center" vertical="center"/>
    </xf>
    <xf numFmtId="0" fontId="8" fillId="19" borderId="184" xfId="0" applyFont="1" applyFill="1" applyBorder="1" applyAlignment="1">
      <alignment horizontal="center" vertical="center"/>
    </xf>
    <xf numFmtId="0" fontId="7" fillId="21" borderId="220" xfId="0" applyFont="1" applyFill="1" applyBorder="1" applyAlignment="1">
      <alignment vertical="center"/>
    </xf>
    <xf numFmtId="38" fontId="8" fillId="21" borderId="267" xfId="2" applyFont="1" applyFill="1" applyBorder="1" applyAlignment="1">
      <alignment vertical="center"/>
    </xf>
    <xf numFmtId="0" fontId="8" fillId="19" borderId="85" xfId="0" applyFont="1" applyFill="1" applyBorder="1" applyAlignment="1">
      <alignment vertical="center"/>
    </xf>
    <xf numFmtId="38" fontId="39" fillId="6" borderId="96" xfId="2" applyFont="1" applyFill="1" applyBorder="1" applyAlignment="1">
      <alignment vertical="center"/>
    </xf>
    <xf numFmtId="0" fontId="8" fillId="19" borderId="88" xfId="0" applyFont="1" applyFill="1" applyBorder="1" applyAlignment="1">
      <alignment vertical="center" wrapText="1"/>
    </xf>
    <xf numFmtId="38" fontId="39" fillId="6" borderId="158" xfId="2" applyFont="1" applyFill="1" applyBorder="1" applyAlignment="1">
      <alignment vertical="center"/>
    </xf>
    <xf numFmtId="0" fontId="8" fillId="19" borderId="88" xfId="0" applyFont="1" applyFill="1" applyBorder="1" applyAlignment="1">
      <alignment vertical="center"/>
    </xf>
    <xf numFmtId="0" fontId="8" fillId="19" borderId="268" xfId="0" applyFont="1" applyFill="1" applyBorder="1" applyAlignment="1">
      <alignment vertical="center"/>
    </xf>
    <xf numFmtId="38" fontId="39" fillId="6" borderId="269" xfId="2" applyFont="1" applyFill="1" applyBorder="1" applyAlignment="1">
      <alignment vertical="center"/>
    </xf>
    <xf numFmtId="38" fontId="39" fillId="6" borderId="270" xfId="2" applyFont="1" applyFill="1" applyBorder="1" applyAlignment="1">
      <alignment vertical="center"/>
    </xf>
    <xf numFmtId="0" fontId="8" fillId="19" borderId="271" xfId="0" applyFont="1" applyFill="1" applyBorder="1" applyAlignment="1">
      <alignment vertical="center"/>
    </xf>
    <xf numFmtId="38" fontId="39" fillId="6" borderId="173" xfId="2" applyFont="1" applyFill="1" applyBorder="1" applyAlignment="1">
      <alignment vertical="center"/>
    </xf>
    <xf numFmtId="38" fontId="39" fillId="6" borderId="272" xfId="2" applyFont="1" applyFill="1" applyBorder="1" applyAlignment="1">
      <alignment vertical="center"/>
    </xf>
    <xf numFmtId="38" fontId="8" fillId="18" borderId="0" xfId="0" applyNumberFormat="1" applyFont="1" applyFill="1" applyAlignment="1">
      <alignment vertical="center"/>
    </xf>
    <xf numFmtId="0" fontId="8" fillId="19" borderId="261" xfId="0" applyFont="1" applyFill="1" applyBorder="1" applyAlignment="1">
      <alignment vertical="center"/>
    </xf>
    <xf numFmtId="38" fontId="39" fillId="6" borderId="168" xfId="2" applyFont="1" applyFill="1" applyBorder="1" applyAlignment="1">
      <alignment vertical="center"/>
    </xf>
    <xf numFmtId="0" fontId="7" fillId="21" borderId="221" xfId="0" applyFont="1" applyFill="1" applyBorder="1" applyAlignment="1">
      <alignment horizontal="right" vertical="center"/>
    </xf>
    <xf numFmtId="38" fontId="40" fillId="21" borderId="273" xfId="2" applyFont="1" applyFill="1" applyBorder="1" applyAlignment="1">
      <alignment vertical="center"/>
    </xf>
    <xf numFmtId="0" fontId="7" fillId="22" borderId="220" xfId="0" applyFont="1" applyFill="1" applyBorder="1" applyAlignment="1">
      <alignment vertical="center"/>
    </xf>
    <xf numFmtId="38" fontId="39" fillId="22" borderId="267" xfId="2" applyFont="1" applyFill="1" applyBorder="1" applyAlignment="1">
      <alignment vertical="center"/>
    </xf>
    <xf numFmtId="0" fontId="8" fillId="19" borderId="223" xfId="0" applyFont="1" applyFill="1" applyBorder="1" applyAlignment="1">
      <alignment vertical="center"/>
    </xf>
    <xf numFmtId="49" fontId="8" fillId="19" borderId="271" xfId="0" applyNumberFormat="1" applyFont="1" applyFill="1" applyBorder="1" applyAlignment="1">
      <alignment vertical="center"/>
    </xf>
    <xf numFmtId="38" fontId="39" fillId="6" borderId="274" xfId="2" applyFont="1" applyFill="1" applyBorder="1" applyAlignment="1">
      <alignment vertical="center"/>
    </xf>
    <xf numFmtId="49" fontId="8" fillId="19" borderId="261" xfId="0" applyNumberFormat="1" applyFont="1" applyFill="1" applyBorder="1" applyAlignment="1">
      <alignment vertical="center"/>
    </xf>
    <xf numFmtId="0" fontId="7" fillId="22" borderId="221" xfId="0" applyFont="1" applyFill="1" applyBorder="1" applyAlignment="1">
      <alignment horizontal="right" vertical="center"/>
    </xf>
    <xf numFmtId="38" fontId="40" fillId="22" borderId="273" xfId="2" applyFont="1" applyFill="1" applyBorder="1" applyAlignment="1">
      <alignment vertical="center"/>
    </xf>
    <xf numFmtId="0" fontId="7" fillId="23" borderId="80" xfId="0" applyFont="1" applyFill="1" applyBorder="1" applyAlignment="1">
      <alignment horizontal="right" vertical="center"/>
    </xf>
    <xf numFmtId="38" fontId="40" fillId="23" borderId="25" xfId="2" applyFont="1" applyFill="1" applyBorder="1" applyAlignment="1">
      <alignment vertical="center"/>
    </xf>
    <xf numFmtId="0" fontId="7" fillId="24" borderId="220" xfId="0" applyFont="1" applyFill="1" applyBorder="1" applyAlignment="1">
      <alignment vertical="center"/>
    </xf>
    <xf numFmtId="38" fontId="49" fillId="24" borderId="267" xfId="2" applyFont="1" applyFill="1" applyBorder="1" applyAlignment="1">
      <alignment vertical="center"/>
    </xf>
    <xf numFmtId="0" fontId="7" fillId="24" borderId="221" xfId="0" applyFont="1" applyFill="1" applyBorder="1" applyAlignment="1">
      <alignment horizontal="right" vertical="center"/>
    </xf>
    <xf numFmtId="38" fontId="40" fillId="24" borderId="273" xfId="2" applyFont="1" applyFill="1" applyBorder="1" applyAlignment="1">
      <alignment vertical="center"/>
    </xf>
    <xf numFmtId="0" fontId="7" fillId="19" borderId="222" xfId="0" applyFont="1" applyFill="1" applyBorder="1" applyAlignment="1">
      <alignment horizontal="left" vertical="center"/>
    </xf>
    <xf numFmtId="38" fontId="39" fillId="6" borderId="184" xfId="2" applyFont="1" applyFill="1" applyBorder="1" applyAlignment="1">
      <alignment vertical="center"/>
    </xf>
    <xf numFmtId="0" fontId="7" fillId="19" borderId="275" xfId="0" applyFont="1" applyFill="1" applyBorder="1" applyAlignment="1">
      <alignment horizontal="left" vertical="center"/>
    </xf>
    <xf numFmtId="38" fontId="39" fillId="6" borderId="276" xfId="2" applyFont="1" applyFill="1" applyBorder="1" applyAlignment="1">
      <alignment vertical="center"/>
    </xf>
    <xf numFmtId="0" fontId="7" fillId="19" borderId="221" xfId="0" applyFont="1" applyFill="1" applyBorder="1" applyAlignment="1">
      <alignment horizontal="left" vertical="center"/>
    </xf>
    <xf numFmtId="38" fontId="39" fillId="6" borderId="273" xfId="2" applyFont="1" applyFill="1" applyBorder="1" applyAlignment="1">
      <alignment vertical="center"/>
    </xf>
    <xf numFmtId="0" fontId="7" fillId="19" borderId="224" xfId="0" applyFont="1" applyFill="1" applyBorder="1" applyAlignment="1">
      <alignment horizontal="left" vertical="center"/>
    </xf>
    <xf numFmtId="38" fontId="39" fillId="6" borderId="185" xfId="2" applyFont="1" applyFill="1" applyBorder="1" applyAlignment="1">
      <alignment vertical="center"/>
    </xf>
    <xf numFmtId="38" fontId="40" fillId="6" borderId="277" xfId="0" applyNumberFormat="1" applyFont="1" applyFill="1" applyBorder="1" applyAlignment="1">
      <alignment vertical="center"/>
    </xf>
    <xf numFmtId="38" fontId="40" fillId="0" borderId="0" xfId="0" applyNumberFormat="1" applyFont="1" applyAlignment="1">
      <alignment vertical="center"/>
    </xf>
    <xf numFmtId="0" fontId="50" fillId="19" borderId="0" xfId="0" applyFont="1" applyFill="1" applyAlignment="1">
      <alignment horizontal="left" vertical="center"/>
    </xf>
    <xf numFmtId="0" fontId="10" fillId="25" borderId="1" xfId="0" applyFont="1" applyFill="1" applyBorder="1" applyAlignment="1" applyProtection="1">
      <alignment vertical="center" wrapText="1"/>
      <protection locked="0"/>
    </xf>
    <xf numFmtId="0" fontId="51" fillId="25" borderId="8" xfId="0" applyFont="1" applyFill="1" applyBorder="1" applyProtection="1">
      <protection locked="0"/>
    </xf>
    <xf numFmtId="0" fontId="10" fillId="25" borderId="8" xfId="2" applyNumberFormat="1" applyFont="1" applyFill="1" applyBorder="1" applyAlignment="1" applyProtection="1">
      <alignment vertical="center"/>
      <protection locked="0"/>
    </xf>
    <xf numFmtId="0" fontId="10" fillId="25" borderId="8" xfId="2" applyNumberFormat="1" applyFont="1" applyFill="1" applyBorder="1" applyAlignment="1" applyProtection="1">
      <alignment horizontal="right" vertical="center"/>
      <protection locked="0"/>
    </xf>
    <xf numFmtId="0" fontId="10" fillId="25" borderId="122" xfId="2" applyNumberFormat="1" applyFont="1" applyFill="1" applyBorder="1" applyAlignment="1" applyProtection="1">
      <alignment vertical="center"/>
      <protection locked="0"/>
    </xf>
    <xf numFmtId="0" fontId="10" fillId="25" borderId="2" xfId="2" applyNumberFormat="1" applyFont="1" applyFill="1" applyBorder="1" applyAlignment="1" applyProtection="1">
      <alignment horizontal="right" vertical="center"/>
      <protection locked="0"/>
    </xf>
    <xf numFmtId="0" fontId="10" fillId="25" borderId="2" xfId="0" applyFont="1" applyFill="1" applyBorder="1" applyAlignment="1" applyProtection="1">
      <alignment vertical="center"/>
      <protection locked="0"/>
    </xf>
    <xf numFmtId="0" fontId="9" fillId="0" borderId="77" xfId="0" applyFont="1" applyBorder="1" applyAlignment="1">
      <alignment horizontal="center" vertical="center" shrinkToFit="1"/>
    </xf>
    <xf numFmtId="0" fontId="9" fillId="0" borderId="57" xfId="0" applyFont="1" applyBorder="1" applyAlignment="1">
      <alignment horizontal="center" vertical="center" shrinkToFit="1"/>
    </xf>
    <xf numFmtId="0" fontId="9" fillId="20" borderId="78" xfId="0" applyFont="1" applyFill="1" applyBorder="1" applyAlignment="1">
      <alignment horizontal="center" vertical="center" shrinkToFit="1"/>
    </xf>
    <xf numFmtId="0" fontId="9" fillId="20" borderId="21" xfId="0" applyFont="1" applyFill="1" applyBorder="1" applyAlignment="1">
      <alignment horizontal="center" vertical="center" shrinkToFit="1"/>
    </xf>
    <xf numFmtId="0" fontId="9" fillId="20" borderId="77" xfId="0" applyFont="1" applyFill="1" applyBorder="1" applyAlignment="1">
      <alignment horizontal="center" vertical="center" shrinkToFit="1"/>
    </xf>
    <xf numFmtId="0" fontId="9" fillId="20" borderId="57" xfId="0" applyFont="1" applyFill="1" applyBorder="1" applyAlignment="1">
      <alignment horizontal="center" vertical="center" shrinkToFit="1"/>
    </xf>
    <xf numFmtId="0" fontId="52" fillId="20" borderId="85" xfId="0" applyFont="1" applyFill="1" applyBorder="1" applyAlignment="1">
      <alignment horizontal="left" vertical="center"/>
    </xf>
    <xf numFmtId="0" fontId="10" fillId="25" borderId="157" xfId="2" applyNumberFormat="1" applyFont="1" applyFill="1" applyBorder="1" applyAlignment="1" applyProtection="1">
      <alignment vertical="center"/>
      <protection locked="0"/>
    </xf>
    <xf numFmtId="0" fontId="10" fillId="25" borderId="4" xfId="2" applyNumberFormat="1" applyFont="1" applyFill="1" applyBorder="1" applyAlignment="1" applyProtection="1">
      <alignment horizontal="right" vertical="center"/>
      <protection locked="0"/>
    </xf>
    <xf numFmtId="176" fontId="0" fillId="5" borderId="63" xfId="4" applyNumberFormat="1" applyFont="1" applyFill="1" applyBorder="1" applyAlignment="1" applyProtection="1">
      <alignment vertical="center"/>
      <protection locked="0"/>
    </xf>
    <xf numFmtId="176" fontId="5" fillId="5" borderId="6" xfId="4" applyNumberFormat="1" applyFont="1" applyFill="1" applyBorder="1" applyAlignment="1" applyProtection="1">
      <alignment vertical="center"/>
      <protection locked="0"/>
    </xf>
    <xf numFmtId="177" fontId="0" fillId="5" borderId="64" xfId="4" applyNumberFormat="1" applyFont="1" applyFill="1" applyBorder="1" applyAlignment="1" applyProtection="1">
      <alignment vertical="center"/>
      <protection locked="0"/>
    </xf>
    <xf numFmtId="0" fontId="54" fillId="0" borderId="0" xfId="9" applyFont="1">
      <alignment vertical="center"/>
    </xf>
    <xf numFmtId="0" fontId="59" fillId="0" borderId="278" xfId="9" applyFont="1" applyBorder="1" applyAlignment="1">
      <alignment horizontal="center" vertical="center"/>
    </xf>
    <xf numFmtId="0" fontId="60" fillId="0" borderId="0" xfId="9" applyFont="1">
      <alignment vertical="center"/>
    </xf>
    <xf numFmtId="0" fontId="63" fillId="0" borderId="0" xfId="9" applyFont="1">
      <alignment vertical="center"/>
    </xf>
    <xf numFmtId="0" fontId="61" fillId="25" borderId="53" xfId="9" applyFont="1" applyFill="1" applyBorder="1" applyAlignment="1">
      <alignment horizontal="right" vertical="center"/>
    </xf>
    <xf numFmtId="0" fontId="61" fillId="25" borderId="280" xfId="9" applyFont="1" applyFill="1" applyBorder="1" applyAlignment="1">
      <alignment horizontal="right" vertical="center"/>
    </xf>
    <xf numFmtId="0" fontId="61" fillId="25" borderId="112" xfId="9" applyFont="1" applyFill="1" applyBorder="1" applyAlignment="1">
      <alignment horizontal="right" vertical="center"/>
    </xf>
    <xf numFmtId="0" fontId="61" fillId="25" borderId="2" xfId="9" applyFont="1" applyFill="1" applyBorder="1" applyAlignment="1">
      <alignment horizontal="center" vertical="center"/>
    </xf>
    <xf numFmtId="0" fontId="60" fillId="0" borderId="38" xfId="9" applyFont="1" applyBorder="1" applyAlignment="1">
      <alignment horizontal="center"/>
    </xf>
    <xf numFmtId="194" fontId="64" fillId="0" borderId="38" xfId="9" applyNumberFormat="1" applyFont="1" applyBorder="1">
      <alignment vertical="center"/>
    </xf>
    <xf numFmtId="0" fontId="60" fillId="0" borderId="38" xfId="9" applyFont="1" applyBorder="1" applyAlignment="1"/>
    <xf numFmtId="0" fontId="60" fillId="0" borderId="284" xfId="9" applyFont="1" applyBorder="1" applyAlignment="1"/>
    <xf numFmtId="0" fontId="60" fillId="0" borderId="29" xfId="9" applyFont="1" applyBorder="1" applyAlignment="1"/>
    <xf numFmtId="176" fontId="0" fillId="14" borderId="12" xfId="4" applyNumberFormat="1" applyFont="1" applyFill="1" applyBorder="1" applyAlignment="1" applyProtection="1">
      <alignment vertical="center"/>
      <protection locked="0"/>
    </xf>
    <xf numFmtId="176" fontId="0" fillId="14" borderId="13" xfId="4" applyNumberFormat="1" applyFont="1" applyFill="1" applyBorder="1" applyAlignment="1" applyProtection="1">
      <alignment vertical="center"/>
    </xf>
    <xf numFmtId="176" fontId="0" fillId="14" borderId="12" xfId="4" applyNumberFormat="1" applyFont="1" applyFill="1" applyBorder="1" applyAlignment="1" applyProtection="1">
      <alignment vertical="center"/>
    </xf>
    <xf numFmtId="176" fontId="0" fillId="14" borderId="18" xfId="4" applyNumberFormat="1" applyFont="1" applyFill="1" applyBorder="1" applyAlignment="1" applyProtection="1">
      <alignment vertical="center"/>
      <protection locked="0"/>
    </xf>
    <xf numFmtId="176" fontId="1" fillId="14" borderId="12" xfId="4" applyNumberFormat="1" applyFont="1" applyFill="1" applyBorder="1" applyAlignment="1" applyProtection="1">
      <alignment vertical="center"/>
      <protection locked="0"/>
    </xf>
    <xf numFmtId="176" fontId="1" fillId="14" borderId="11" xfId="4" applyNumberFormat="1" applyFont="1" applyFill="1" applyBorder="1" applyAlignment="1" applyProtection="1">
      <alignment vertical="center"/>
      <protection locked="0"/>
    </xf>
    <xf numFmtId="176" fontId="1" fillId="14" borderId="26" xfId="4" applyNumberFormat="1" applyFont="1" applyFill="1" applyBorder="1" applyAlignment="1" applyProtection="1">
      <alignment vertical="center"/>
      <protection locked="0"/>
    </xf>
    <xf numFmtId="176" fontId="1" fillId="14" borderId="6" xfId="4" applyNumberFormat="1" applyFont="1" applyFill="1" applyBorder="1" applyAlignment="1" applyProtection="1">
      <alignment vertical="center"/>
    </xf>
    <xf numFmtId="177" fontId="5" fillId="14" borderId="21" xfId="4" applyNumberFormat="1" applyFont="1" applyFill="1" applyBorder="1" applyAlignment="1" applyProtection="1">
      <alignment vertical="center" shrinkToFit="1"/>
    </xf>
    <xf numFmtId="176" fontId="1" fillId="14" borderId="19" xfId="4" applyNumberFormat="1" applyFont="1" applyFill="1" applyBorder="1" applyAlignment="1" applyProtection="1">
      <alignment vertical="center"/>
    </xf>
    <xf numFmtId="176" fontId="0" fillId="14" borderId="19" xfId="4" applyNumberFormat="1" applyFont="1" applyFill="1" applyBorder="1" applyAlignment="1" applyProtection="1">
      <alignment vertical="center"/>
      <protection locked="0"/>
    </xf>
    <xf numFmtId="177" fontId="5" fillId="14" borderId="12" xfId="4" applyNumberFormat="1" applyFont="1" applyFill="1" applyBorder="1" applyAlignment="1" applyProtection="1">
      <alignment vertical="center" shrinkToFit="1"/>
    </xf>
    <xf numFmtId="176" fontId="67" fillId="14" borderId="6" xfId="4" applyNumberFormat="1" applyFont="1" applyFill="1" applyBorder="1" applyAlignment="1" applyProtection="1">
      <alignment horizontal="left" vertical="center"/>
      <protection locked="0"/>
    </xf>
    <xf numFmtId="176" fontId="67" fillId="5" borderId="8" xfId="4" applyNumberFormat="1" applyFont="1" applyFill="1" applyBorder="1" applyAlignment="1" applyProtection="1">
      <alignment horizontal="left" vertical="center"/>
      <protection locked="0"/>
    </xf>
    <xf numFmtId="176" fontId="67" fillId="5" borderId="12" xfId="4" applyNumberFormat="1" applyFont="1" applyFill="1" applyBorder="1" applyAlignment="1" applyProtection="1">
      <alignment horizontal="left" vertical="center"/>
      <protection locked="0"/>
    </xf>
    <xf numFmtId="176" fontId="66" fillId="14" borderId="12" xfId="4" applyNumberFormat="1" applyFont="1" applyFill="1" applyBorder="1" applyAlignment="1" applyProtection="1">
      <alignment horizontal="left" vertical="center"/>
      <protection locked="0"/>
    </xf>
    <xf numFmtId="176" fontId="67" fillId="5" borderId="18" xfId="4" applyNumberFormat="1" applyFont="1" applyFill="1" applyBorder="1" applyAlignment="1" applyProtection="1">
      <alignment horizontal="left" vertical="center"/>
      <protection locked="0"/>
    </xf>
    <xf numFmtId="176" fontId="67" fillId="14" borderId="12" xfId="4" applyNumberFormat="1" applyFont="1" applyFill="1" applyBorder="1" applyAlignment="1" applyProtection="1">
      <alignment horizontal="left" vertical="center"/>
      <protection locked="0"/>
    </xf>
    <xf numFmtId="176" fontId="67" fillId="5" borderId="11" xfId="4" applyNumberFormat="1" applyFont="1" applyFill="1" applyBorder="1" applyAlignment="1" applyProtection="1">
      <alignment horizontal="left" vertical="center"/>
      <protection locked="0"/>
    </xf>
    <xf numFmtId="176" fontId="0" fillId="26" borderId="54" xfId="4" applyNumberFormat="1" applyFont="1" applyFill="1" applyBorder="1" applyAlignment="1" applyProtection="1">
      <alignment vertical="center"/>
      <protection locked="0"/>
    </xf>
    <xf numFmtId="49" fontId="67" fillId="26" borderId="16" xfId="4" applyNumberFormat="1" applyFont="1" applyFill="1" applyBorder="1" applyAlignment="1" applyProtection="1">
      <alignment horizontal="left" vertical="center"/>
      <protection locked="0"/>
    </xf>
    <xf numFmtId="38" fontId="0" fillId="0" borderId="0" xfId="2" applyFont="1" applyAlignment="1">
      <alignment vertical="center"/>
    </xf>
    <xf numFmtId="38" fontId="1" fillId="0" borderId="0" xfId="2" applyFill="1" applyBorder="1" applyAlignment="1" applyProtection="1">
      <alignment vertical="center"/>
    </xf>
    <xf numFmtId="38" fontId="1" fillId="0" borderId="0" xfId="2" applyFont="1" applyFill="1" applyBorder="1" applyAlignment="1" applyProtection="1">
      <alignment horizontal="center" vertical="center"/>
    </xf>
    <xf numFmtId="38" fontId="0" fillId="0" borderId="0" xfId="2" applyFont="1" applyAlignment="1">
      <alignment horizontal="center" vertical="center"/>
    </xf>
    <xf numFmtId="38" fontId="1" fillId="0" borderId="0" xfId="2" applyFont="1" applyFill="1" applyBorder="1" applyAlignment="1" applyProtection="1">
      <alignment vertical="center"/>
    </xf>
    <xf numFmtId="38" fontId="12" fillId="0" borderId="0" xfId="2" applyFont="1" applyAlignment="1">
      <alignment vertical="center"/>
    </xf>
    <xf numFmtId="38" fontId="12" fillId="0" borderId="0" xfId="2" applyFont="1" applyFill="1" applyBorder="1" applyAlignment="1" applyProtection="1">
      <alignment vertical="center"/>
    </xf>
    <xf numFmtId="176" fontId="68" fillId="5" borderId="25" xfId="4" applyNumberFormat="1" applyFont="1" applyFill="1" applyBorder="1" applyAlignment="1" applyProtection="1">
      <alignment horizontal="left" vertical="center"/>
      <protection locked="0"/>
    </xf>
    <xf numFmtId="176" fontId="68" fillId="5" borderId="21" xfId="4" applyNumberFormat="1" applyFont="1" applyFill="1" applyBorder="1" applyAlignment="1" applyProtection="1">
      <alignment horizontal="left" vertical="center"/>
      <protection locked="0"/>
    </xf>
    <xf numFmtId="176" fontId="1" fillId="14" borderId="17" xfId="4" applyNumberFormat="1" applyFont="1" applyFill="1" applyBorder="1" applyAlignment="1" applyProtection="1">
      <alignment vertical="center"/>
      <protection locked="0"/>
    </xf>
    <xf numFmtId="58" fontId="6" fillId="0" borderId="0" xfId="4" applyNumberFormat="1" applyFont="1" applyFill="1" applyBorder="1" applyAlignment="1" applyProtection="1">
      <alignment vertical="center"/>
    </xf>
    <xf numFmtId="176" fontId="6" fillId="0" borderId="0" xfId="4" applyNumberFormat="1" applyFont="1" applyFill="1" applyBorder="1" applyAlignment="1" applyProtection="1">
      <alignment horizontal="right" vertical="center"/>
    </xf>
    <xf numFmtId="176" fontId="69" fillId="5" borderId="5" xfId="4" applyNumberFormat="1" applyFont="1" applyFill="1" applyBorder="1" applyAlignment="1" applyProtection="1">
      <alignment horizontal="left" vertical="center"/>
      <protection locked="0"/>
    </xf>
    <xf numFmtId="176" fontId="69" fillId="5" borderId="9" xfId="4" applyNumberFormat="1" applyFont="1" applyFill="1" applyBorder="1" applyAlignment="1" applyProtection="1">
      <alignment horizontal="left" vertical="center"/>
      <protection locked="0"/>
    </xf>
    <xf numFmtId="176" fontId="69" fillId="5" borderId="7" xfId="4" applyNumberFormat="1" applyFont="1" applyFill="1" applyBorder="1" applyAlignment="1" applyProtection="1">
      <alignment horizontal="left" vertical="center"/>
      <protection locked="0"/>
    </xf>
    <xf numFmtId="176" fontId="69" fillId="5" borderId="8" xfId="4" applyNumberFormat="1" applyFont="1" applyFill="1" applyBorder="1" applyAlignment="1" applyProtection="1">
      <alignment horizontal="left" vertical="center"/>
      <protection locked="0"/>
    </xf>
    <xf numFmtId="176" fontId="69" fillId="5" borderId="6" xfId="4" applyNumberFormat="1" applyFont="1" applyFill="1" applyBorder="1" applyAlignment="1" applyProtection="1">
      <alignment horizontal="left" vertical="center"/>
      <protection locked="0"/>
    </xf>
    <xf numFmtId="176" fontId="69" fillId="5" borderId="10" xfId="4" applyNumberFormat="1" applyFont="1" applyFill="1" applyBorder="1" applyAlignment="1" applyProtection="1">
      <alignment horizontal="left" vertical="center"/>
      <protection locked="0"/>
    </xf>
    <xf numFmtId="176" fontId="69" fillId="5" borderId="179" xfId="4" applyNumberFormat="1" applyFont="1" applyFill="1" applyBorder="1" applyAlignment="1" applyProtection="1">
      <alignment horizontal="left" vertical="center"/>
      <protection locked="0"/>
    </xf>
    <xf numFmtId="176" fontId="69" fillId="5" borderId="40" xfId="4" applyNumberFormat="1" applyFont="1" applyFill="1" applyBorder="1" applyAlignment="1" applyProtection="1">
      <alignment horizontal="left" vertical="center"/>
      <protection locked="0"/>
    </xf>
    <xf numFmtId="176" fontId="69" fillId="5" borderId="15" xfId="4" applyNumberFormat="1" applyFont="1" applyFill="1" applyBorder="1" applyAlignment="1" applyProtection="1">
      <alignment horizontal="left" vertical="center"/>
      <protection locked="0"/>
    </xf>
    <xf numFmtId="176" fontId="69" fillId="5" borderId="12" xfId="4" applyNumberFormat="1" applyFont="1" applyFill="1" applyBorder="1" applyAlignment="1" applyProtection="1">
      <alignment horizontal="left" vertical="center"/>
      <protection locked="0"/>
    </xf>
    <xf numFmtId="176" fontId="69" fillId="5" borderId="26" xfId="4" applyNumberFormat="1" applyFont="1" applyFill="1" applyBorder="1" applyAlignment="1" applyProtection="1">
      <alignment horizontal="left" vertical="center"/>
      <protection locked="0"/>
    </xf>
    <xf numFmtId="176" fontId="69" fillId="5" borderId="25" xfId="4" applyNumberFormat="1" applyFont="1" applyFill="1" applyBorder="1" applyAlignment="1" applyProtection="1">
      <alignment horizontal="left" vertical="center"/>
      <protection locked="0"/>
    </xf>
    <xf numFmtId="176" fontId="69" fillId="5" borderId="18" xfId="4" applyNumberFormat="1" applyFont="1" applyFill="1" applyBorder="1" applyAlignment="1" applyProtection="1">
      <alignment horizontal="left" vertical="center"/>
      <protection locked="0"/>
    </xf>
    <xf numFmtId="176" fontId="69" fillId="5" borderId="2" xfId="4" applyNumberFormat="1" applyFont="1" applyFill="1" applyBorder="1" applyAlignment="1" applyProtection="1">
      <alignment horizontal="left" vertical="center"/>
      <protection locked="0"/>
    </xf>
    <xf numFmtId="176" fontId="69" fillId="5" borderId="4" xfId="4" applyNumberFormat="1" applyFont="1" applyFill="1" applyBorder="1" applyAlignment="1" applyProtection="1">
      <alignment horizontal="left" vertical="center"/>
      <protection locked="0"/>
    </xf>
    <xf numFmtId="176" fontId="69" fillId="5" borderId="14" xfId="4" applyNumberFormat="1" applyFont="1" applyFill="1" applyBorder="1" applyAlignment="1" applyProtection="1">
      <alignment horizontal="left" vertical="center"/>
      <protection locked="0"/>
    </xf>
    <xf numFmtId="176" fontId="69" fillId="0" borderId="60" xfId="4" applyNumberFormat="1" applyFont="1" applyFill="1" applyBorder="1" applyAlignment="1" applyProtection="1">
      <alignment horizontal="left" vertical="center"/>
    </xf>
    <xf numFmtId="176" fontId="69" fillId="0" borderId="0" xfId="4" applyNumberFormat="1" applyFont="1" applyFill="1" applyBorder="1" applyAlignment="1" applyProtection="1">
      <alignment horizontal="left" vertical="center"/>
    </xf>
    <xf numFmtId="176" fontId="69" fillId="5" borderId="11" xfId="4" applyNumberFormat="1" applyFont="1" applyFill="1" applyBorder="1" applyAlignment="1" applyProtection="1">
      <alignment horizontal="left" vertical="center"/>
      <protection locked="0"/>
    </xf>
    <xf numFmtId="176" fontId="69" fillId="5" borderId="16" xfId="4" applyNumberFormat="1" applyFont="1" applyFill="1" applyBorder="1" applyAlignment="1" applyProtection="1">
      <alignment horizontal="left" vertical="center"/>
      <protection locked="0"/>
    </xf>
    <xf numFmtId="176" fontId="69" fillId="5" borderId="65" xfId="4" applyNumberFormat="1" applyFont="1" applyFill="1" applyBorder="1" applyAlignment="1" applyProtection="1">
      <alignment horizontal="left" vertical="center"/>
      <protection locked="0"/>
    </xf>
    <xf numFmtId="176" fontId="69" fillId="5" borderId="3" xfId="4" applyNumberFormat="1" applyFont="1" applyFill="1" applyBorder="1" applyAlignment="1" applyProtection="1">
      <alignment horizontal="left" vertical="center"/>
      <protection locked="0"/>
    </xf>
    <xf numFmtId="176" fontId="69" fillId="5" borderId="265" xfId="4" applyNumberFormat="1" applyFont="1" applyFill="1" applyBorder="1" applyAlignment="1" applyProtection="1">
      <alignment horizontal="left" vertical="center"/>
      <protection locked="0"/>
    </xf>
    <xf numFmtId="176" fontId="69" fillId="5" borderId="21" xfId="4" applyNumberFormat="1" applyFont="1" applyFill="1" applyBorder="1" applyAlignment="1" applyProtection="1">
      <alignment horizontal="left" vertical="center"/>
      <protection locked="0"/>
    </xf>
    <xf numFmtId="176" fontId="70" fillId="14" borderId="17" xfId="4" applyNumberFormat="1" applyFont="1" applyFill="1" applyBorder="1" applyAlignment="1" applyProtection="1">
      <alignment horizontal="left" vertical="center"/>
      <protection locked="0"/>
    </xf>
    <xf numFmtId="176" fontId="70" fillId="14" borderId="11" xfId="4" applyNumberFormat="1" applyFont="1" applyFill="1" applyBorder="1" applyAlignment="1" applyProtection="1">
      <alignment horizontal="left" vertical="center"/>
      <protection locked="0"/>
    </xf>
    <xf numFmtId="187" fontId="1" fillId="14" borderId="12" xfId="4" applyNumberFormat="1" applyFill="1" applyBorder="1" applyAlignment="1" applyProtection="1">
      <alignment vertical="center"/>
    </xf>
    <xf numFmtId="0" fontId="0" fillId="14" borderId="0" xfId="0" applyFill="1"/>
    <xf numFmtId="187" fontId="1" fillId="14" borderId="64" xfId="4" applyNumberFormat="1" applyFill="1" applyBorder="1" applyAlignment="1" applyProtection="1">
      <alignment vertical="center"/>
      <protection locked="0"/>
    </xf>
    <xf numFmtId="0" fontId="0" fillId="14" borderId="0" xfId="0" applyFill="1" applyAlignment="1">
      <alignment vertical="center"/>
    </xf>
    <xf numFmtId="176" fontId="70" fillId="14" borderId="12" xfId="4" applyNumberFormat="1" applyFont="1" applyFill="1" applyBorder="1" applyAlignment="1" applyProtection="1">
      <alignment horizontal="left" vertical="center"/>
      <protection locked="0"/>
    </xf>
    <xf numFmtId="176" fontId="1" fillId="14" borderId="19" xfId="4" applyNumberFormat="1" applyFont="1" applyFill="1" applyBorder="1" applyAlignment="1" applyProtection="1">
      <alignment vertical="center" shrinkToFit="1"/>
    </xf>
    <xf numFmtId="177" fontId="5" fillId="14" borderId="12" xfId="1" applyNumberFormat="1" applyFont="1" applyFill="1" applyBorder="1" applyAlignment="1" applyProtection="1">
      <alignment vertical="center" shrinkToFit="1"/>
    </xf>
    <xf numFmtId="176" fontId="66" fillId="14" borderId="12" xfId="4" applyNumberFormat="1" applyFont="1" applyFill="1" applyBorder="1" applyAlignment="1" applyProtection="1">
      <alignment vertical="center" wrapText="1"/>
      <protection locked="0"/>
    </xf>
    <xf numFmtId="176" fontId="66" fillId="5" borderId="12" xfId="4" applyNumberFormat="1" applyFont="1" applyFill="1" applyBorder="1" applyAlignment="1" applyProtection="1">
      <alignment vertical="center" wrapText="1"/>
      <protection locked="0"/>
    </xf>
    <xf numFmtId="176" fontId="67" fillId="14" borderId="12" xfId="4" applyNumberFormat="1" applyFont="1" applyFill="1" applyBorder="1" applyAlignment="1" applyProtection="1">
      <alignment vertical="center" wrapText="1"/>
      <protection locked="0"/>
    </xf>
    <xf numFmtId="176" fontId="0" fillId="0" borderId="19" xfId="4" applyNumberFormat="1" applyFont="1" applyFill="1" applyBorder="1" applyAlignment="1" applyProtection="1">
      <alignment vertical="center"/>
      <protection locked="0"/>
    </xf>
    <xf numFmtId="176" fontId="66" fillId="5" borderId="12" xfId="4" applyNumberFormat="1" applyFont="1" applyFill="1" applyBorder="1" applyAlignment="1" applyProtection="1">
      <alignment horizontal="left" vertical="center"/>
      <protection locked="0"/>
    </xf>
    <xf numFmtId="176" fontId="1" fillId="14" borderId="18" xfId="4" applyNumberFormat="1" applyFont="1" applyFill="1" applyBorder="1" applyAlignment="1" applyProtection="1">
      <alignment vertical="center"/>
      <protection locked="0"/>
    </xf>
    <xf numFmtId="177" fontId="5" fillId="14" borderId="18" xfId="1" applyNumberFormat="1" applyFont="1" applyFill="1" applyBorder="1" applyAlignment="1" applyProtection="1">
      <alignment vertical="center" shrinkToFit="1"/>
    </xf>
    <xf numFmtId="176" fontId="70" fillId="14" borderId="21" xfId="4" applyNumberFormat="1" applyFont="1" applyFill="1" applyBorder="1" applyAlignment="1" applyProtection="1">
      <alignment horizontal="left" vertical="center"/>
      <protection locked="0"/>
    </xf>
    <xf numFmtId="176" fontId="1" fillId="26" borderId="12" xfId="4" applyNumberFormat="1" applyFont="1" applyFill="1" applyBorder="1" applyAlignment="1" applyProtection="1">
      <alignment vertical="center"/>
      <protection locked="0"/>
    </xf>
    <xf numFmtId="177" fontId="0" fillId="0" borderId="0" xfId="1" applyNumberFormat="1" applyFont="1" applyAlignment="1">
      <alignment vertical="center"/>
    </xf>
    <xf numFmtId="176" fontId="66" fillId="5" borderId="21" xfId="4" applyNumberFormat="1" applyFont="1" applyFill="1" applyBorder="1" applyAlignment="1" applyProtection="1">
      <alignment vertical="center" wrapText="1"/>
      <protection locked="0"/>
    </xf>
    <xf numFmtId="38" fontId="0" fillId="0" borderId="0" xfId="2" applyFont="1" applyFill="1" applyAlignment="1">
      <alignment vertical="center"/>
    </xf>
    <xf numFmtId="176" fontId="67" fillId="5" borderId="9" xfId="4" applyNumberFormat="1" applyFont="1" applyFill="1" applyBorder="1" applyAlignment="1" applyProtection="1">
      <alignment horizontal="left" vertical="center"/>
      <protection locked="0"/>
    </xf>
    <xf numFmtId="176" fontId="67" fillId="5" borderId="6" xfId="4" applyNumberFormat="1" applyFont="1" applyFill="1" applyBorder="1" applyAlignment="1" applyProtection="1">
      <alignment horizontal="left" vertical="center"/>
      <protection locked="0"/>
    </xf>
    <xf numFmtId="176" fontId="66" fillId="5" borderId="7" xfId="4" applyNumberFormat="1" applyFont="1" applyFill="1" applyBorder="1" applyAlignment="1" applyProtection="1">
      <alignment horizontal="left" vertical="center"/>
      <protection locked="0"/>
    </xf>
    <xf numFmtId="176" fontId="0" fillId="14" borderId="19" xfId="4" applyNumberFormat="1" applyFont="1" applyFill="1" applyBorder="1" applyAlignment="1" applyProtection="1">
      <alignment vertical="center"/>
    </xf>
    <xf numFmtId="176" fontId="71" fillId="8" borderId="4" xfId="4" applyNumberFormat="1" applyFont="1" applyFill="1" applyBorder="1" applyAlignment="1" applyProtection="1">
      <alignment horizontal="center" vertical="center" shrinkToFit="1"/>
    </xf>
    <xf numFmtId="38" fontId="72" fillId="0" borderId="0" xfId="2" applyFont="1" applyAlignment="1">
      <alignment vertical="center"/>
    </xf>
    <xf numFmtId="38" fontId="72" fillId="0" borderId="0" xfId="2" applyFont="1" applyAlignment="1">
      <alignment horizontal="center" vertical="center"/>
    </xf>
    <xf numFmtId="177" fontId="72" fillId="0" borderId="0" xfId="1" applyNumberFormat="1" applyFont="1" applyAlignment="1">
      <alignment vertical="center"/>
    </xf>
    <xf numFmtId="38" fontId="72" fillId="0" borderId="0" xfId="2" applyFont="1" applyAlignment="1">
      <alignment horizontal="left" vertical="center"/>
    </xf>
    <xf numFmtId="176" fontId="70" fillId="5" borderId="6" xfId="4" applyNumberFormat="1" applyFont="1" applyFill="1" applyBorder="1" applyAlignment="1" applyProtection="1">
      <alignment horizontal="left" vertical="center"/>
      <protection locked="0"/>
    </xf>
    <xf numFmtId="176" fontId="0" fillId="5" borderId="12" xfId="4" applyNumberFormat="1" applyFont="1" applyFill="1" applyBorder="1" applyAlignment="1" applyProtection="1">
      <alignment vertical="center" shrinkToFit="1"/>
    </xf>
    <xf numFmtId="177" fontId="5" fillId="5" borderId="12" xfId="4" applyNumberFormat="1" applyFont="1" applyFill="1" applyBorder="1" applyAlignment="1" applyProtection="1">
      <alignment vertical="center" shrinkToFit="1"/>
    </xf>
    <xf numFmtId="181" fontId="5" fillId="5" borderId="12" xfId="1" applyNumberFormat="1" applyFont="1" applyFill="1" applyBorder="1" applyAlignment="1" applyProtection="1">
      <alignment horizontal="right" vertical="center" shrinkToFit="1"/>
    </xf>
    <xf numFmtId="181" fontId="5" fillId="5" borderId="12" xfId="4" applyNumberFormat="1" applyFont="1" applyFill="1" applyBorder="1" applyAlignment="1" applyProtection="1">
      <alignment horizontal="right" vertical="center" shrinkToFit="1"/>
    </xf>
    <xf numFmtId="176" fontId="1" fillId="5" borderId="12" xfId="2" applyNumberFormat="1" applyFill="1" applyBorder="1" applyAlignment="1" applyProtection="1">
      <alignment vertical="center"/>
    </xf>
    <xf numFmtId="176" fontId="1" fillId="5" borderId="13" xfId="4" applyNumberFormat="1" applyFont="1" applyFill="1" applyBorder="1" applyAlignment="1" applyProtection="1">
      <alignment vertical="center"/>
    </xf>
    <xf numFmtId="177" fontId="5" fillId="5" borderId="13" xfId="4" applyNumberFormat="1" applyFont="1" applyFill="1" applyBorder="1" applyAlignment="1" applyProtection="1">
      <alignment vertical="center" shrinkToFit="1"/>
    </xf>
    <xf numFmtId="181" fontId="5" fillId="5" borderId="13" xfId="1" applyNumberFormat="1" applyFont="1" applyFill="1" applyBorder="1" applyAlignment="1" applyProtection="1">
      <alignment horizontal="right" vertical="center" shrinkToFit="1"/>
    </xf>
    <xf numFmtId="181" fontId="5" fillId="5" borderId="13" xfId="4" applyNumberFormat="1" applyFont="1" applyFill="1" applyBorder="1" applyAlignment="1" applyProtection="1">
      <alignment horizontal="right" vertical="center" shrinkToFit="1"/>
    </xf>
    <xf numFmtId="176" fontId="1" fillId="5" borderId="13" xfId="2" applyNumberFormat="1" applyFill="1" applyBorder="1" applyAlignment="1" applyProtection="1">
      <alignment vertical="center"/>
    </xf>
    <xf numFmtId="176" fontId="0" fillId="5" borderId="12" xfId="4" applyNumberFormat="1" applyFont="1" applyFill="1" applyBorder="1" applyAlignment="1" applyProtection="1">
      <alignment vertical="center"/>
    </xf>
    <xf numFmtId="176" fontId="66" fillId="5" borderId="3" xfId="4" applyNumberFormat="1" applyFont="1" applyFill="1" applyBorder="1" applyAlignment="1" applyProtection="1">
      <alignment vertical="center" wrapText="1"/>
      <protection locked="0"/>
    </xf>
    <xf numFmtId="176" fontId="0" fillId="8" borderId="184" xfId="4" applyNumberFormat="1" applyFont="1" applyFill="1" applyBorder="1" applyAlignment="1" applyProtection="1">
      <alignment vertical="center" textRotation="255"/>
    </xf>
    <xf numFmtId="176" fontId="1" fillId="8" borderId="173" xfId="4" applyNumberFormat="1" applyFont="1" applyFill="1" applyBorder="1" applyAlignment="1" applyProtection="1">
      <alignment vertical="center" textRotation="255"/>
    </xf>
    <xf numFmtId="176" fontId="1" fillId="8" borderId="185" xfId="4" applyNumberFormat="1" applyFont="1" applyFill="1" applyBorder="1" applyAlignment="1" applyProtection="1">
      <alignment vertical="center" textRotation="255"/>
    </xf>
    <xf numFmtId="176" fontId="0" fillId="0" borderId="57" xfId="4" applyNumberFormat="1" applyFont="1" applyFill="1" applyBorder="1" applyAlignment="1" applyProtection="1">
      <alignment horizontal="center" vertical="center"/>
    </xf>
    <xf numFmtId="176" fontId="0" fillId="0" borderId="150" xfId="4" applyNumberFormat="1" applyFont="1" applyFill="1" applyBorder="1" applyAlignment="1" applyProtection="1">
      <alignment horizontal="center" vertical="center"/>
    </xf>
    <xf numFmtId="176" fontId="0" fillId="0" borderId="56" xfId="4" applyNumberFormat="1" applyFont="1" applyFill="1" applyBorder="1" applyAlignment="1" applyProtection="1">
      <alignment horizontal="center" vertical="center"/>
    </xf>
    <xf numFmtId="176" fontId="0" fillId="8" borderId="45" xfId="4" applyNumberFormat="1" applyFont="1" applyFill="1" applyBorder="1" applyAlignment="1" applyProtection="1">
      <alignment vertical="center" textRotation="255"/>
    </xf>
    <xf numFmtId="176" fontId="1" fillId="8" borderId="47" xfId="4" applyNumberFormat="1" applyFont="1" applyFill="1" applyBorder="1" applyAlignment="1" applyProtection="1">
      <alignment vertical="center" textRotation="255"/>
    </xf>
    <xf numFmtId="176" fontId="1" fillId="8" borderId="24" xfId="4" applyNumberFormat="1" applyFont="1" applyFill="1" applyBorder="1" applyAlignment="1" applyProtection="1">
      <alignment vertical="center" textRotation="255"/>
    </xf>
    <xf numFmtId="176" fontId="1" fillId="8" borderId="27" xfId="4" applyNumberFormat="1" applyFont="1" applyFill="1" applyBorder="1" applyAlignment="1" applyProtection="1">
      <alignment vertical="center" textRotation="255"/>
    </xf>
    <xf numFmtId="176" fontId="1" fillId="8" borderId="176" xfId="4" applyNumberFormat="1" applyFont="1" applyFill="1" applyBorder="1" applyAlignment="1" applyProtection="1">
      <alignment vertical="center" textRotation="255"/>
    </xf>
    <xf numFmtId="176" fontId="1" fillId="8" borderId="174" xfId="4" applyNumberFormat="1" applyFont="1" applyFill="1" applyBorder="1" applyAlignment="1" applyProtection="1">
      <alignment vertical="center" textRotation="255"/>
    </xf>
    <xf numFmtId="176" fontId="12" fillId="0" borderId="11" xfId="4" applyNumberFormat="1" applyFont="1" applyFill="1" applyBorder="1" applyAlignment="1" applyProtection="1">
      <alignment vertical="center" wrapText="1"/>
    </xf>
    <xf numFmtId="0" fontId="12" fillId="0" borderId="11" xfId="0" applyFont="1" applyBorder="1" applyAlignment="1">
      <alignment vertical="center"/>
    </xf>
    <xf numFmtId="176" fontId="8" fillId="0" borderId="14" xfId="4" applyNumberFormat="1" applyFont="1" applyFill="1" applyBorder="1" applyAlignment="1" applyProtection="1">
      <alignment horizontal="center" vertical="center"/>
    </xf>
    <xf numFmtId="0" fontId="8" fillId="0" borderId="14" xfId="0" applyFont="1" applyBorder="1" applyAlignment="1">
      <alignment horizontal="center" vertical="center"/>
    </xf>
    <xf numFmtId="176" fontId="1" fillId="14" borderId="53" xfId="4" applyNumberFormat="1" applyFont="1" applyFill="1" applyBorder="1" applyAlignment="1" applyProtection="1">
      <alignment vertical="center"/>
    </xf>
    <xf numFmtId="176" fontId="1" fillId="14" borderId="5" xfId="4" applyNumberFormat="1" applyFont="1" applyFill="1" applyBorder="1" applyAlignment="1" applyProtection="1">
      <alignment vertical="center"/>
    </xf>
    <xf numFmtId="176" fontId="1" fillId="0" borderId="54"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1" fillId="14" borderId="61" xfId="4" applyNumberFormat="1" applyFont="1" applyFill="1" applyBorder="1" applyAlignment="1" applyProtection="1">
      <alignment vertical="center"/>
    </xf>
    <xf numFmtId="176" fontId="1" fillId="14" borderId="166" xfId="4" applyNumberFormat="1" applyFont="1" applyFill="1" applyBorder="1" applyAlignment="1" applyProtection="1">
      <alignment vertical="center"/>
    </xf>
    <xf numFmtId="176" fontId="0" fillId="8" borderId="4" xfId="4" applyNumberFormat="1" applyFont="1" applyFill="1" applyBorder="1" applyAlignment="1" applyProtection="1">
      <alignment horizontal="center" vertical="center" textRotation="255"/>
    </xf>
    <xf numFmtId="176" fontId="1" fillId="8" borderId="3" xfId="4" applyNumberFormat="1" applyFont="1" applyFill="1" applyBorder="1" applyAlignment="1" applyProtection="1">
      <alignment horizontal="center" vertical="center" textRotation="255"/>
    </xf>
    <xf numFmtId="176" fontId="1" fillId="8" borderId="175" xfId="4" applyNumberFormat="1" applyFont="1" applyFill="1" applyBorder="1" applyAlignment="1" applyProtection="1">
      <alignment horizontal="center" vertical="center" textRotation="255"/>
    </xf>
    <xf numFmtId="176" fontId="1" fillId="8" borderId="184" xfId="4" applyNumberFormat="1" applyFont="1" applyFill="1" applyBorder="1" applyAlignment="1" applyProtection="1">
      <alignment vertical="center" textRotation="255"/>
    </xf>
    <xf numFmtId="176" fontId="12" fillId="8" borderId="2" xfId="4" applyNumberFormat="1" applyFont="1" applyFill="1" applyBorder="1" applyAlignment="1" applyProtection="1">
      <alignment horizontal="center" vertical="center" wrapText="1"/>
    </xf>
    <xf numFmtId="0" fontId="12" fillId="0" borderId="2" xfId="0" applyFont="1" applyBorder="1" applyAlignment="1">
      <alignment horizontal="center" vertical="center" wrapText="1"/>
    </xf>
    <xf numFmtId="176" fontId="1" fillId="0" borderId="52" xfId="4" applyNumberFormat="1" applyFont="1" applyFill="1" applyBorder="1" applyAlignment="1" applyProtection="1">
      <alignment horizontal="center" vertical="center"/>
    </xf>
    <xf numFmtId="176" fontId="1" fillId="0" borderId="8" xfId="4" applyNumberFormat="1" applyFont="1" applyFill="1" applyBorder="1" applyAlignment="1" applyProtection="1">
      <alignment horizontal="center" vertical="center"/>
    </xf>
    <xf numFmtId="176" fontId="1" fillId="0" borderId="216" xfId="4" applyNumberFormat="1" applyFont="1" applyFill="1" applyBorder="1" applyAlignment="1" applyProtection="1">
      <alignment horizontal="center" vertical="center"/>
    </xf>
    <xf numFmtId="176" fontId="1" fillId="0" borderId="217" xfId="4" applyNumberFormat="1" applyFont="1" applyFill="1" applyBorder="1" applyAlignment="1" applyProtection="1">
      <alignment horizontal="center" vertical="center"/>
    </xf>
    <xf numFmtId="176" fontId="8" fillId="0" borderId="43" xfId="4" applyNumberFormat="1" applyFont="1" applyFill="1" applyBorder="1" applyAlignment="1" applyProtection="1">
      <alignment horizontal="center" vertical="center"/>
    </xf>
    <xf numFmtId="0" fontId="8" fillId="0" borderId="155" xfId="0" applyFont="1" applyBorder="1" applyAlignment="1">
      <alignment horizontal="center" vertical="center"/>
    </xf>
    <xf numFmtId="176" fontId="0" fillId="0" borderId="182" xfId="4" applyNumberFormat="1" applyFont="1" applyFill="1" applyBorder="1" applyAlignment="1" applyProtection="1">
      <alignment vertical="center" textRotation="255"/>
    </xf>
    <xf numFmtId="176" fontId="1" fillId="0" borderId="3" xfId="4" applyNumberFormat="1" applyFont="1" applyFill="1" applyBorder="1" applyAlignment="1" applyProtection="1">
      <alignment vertical="center" textRotation="255"/>
    </xf>
    <xf numFmtId="176" fontId="1" fillId="0" borderId="4" xfId="4" applyNumberFormat="1" applyFont="1" applyFill="1" applyBorder="1" applyAlignment="1" applyProtection="1">
      <alignment vertical="center" textRotation="255"/>
    </xf>
    <xf numFmtId="176" fontId="0" fillId="8" borderId="182" xfId="4" applyNumberFormat="1" applyFont="1" applyFill="1" applyBorder="1" applyAlignment="1" applyProtection="1">
      <alignment vertical="center" textRotation="255"/>
    </xf>
    <xf numFmtId="176" fontId="1" fillId="8" borderId="3" xfId="4" applyNumberFormat="1" applyFont="1" applyFill="1" applyBorder="1" applyAlignment="1" applyProtection="1">
      <alignment vertical="center" textRotation="255"/>
    </xf>
    <xf numFmtId="176" fontId="1" fillId="8" borderId="175" xfId="4" applyNumberFormat="1" applyFont="1" applyFill="1" applyBorder="1" applyAlignment="1" applyProtection="1">
      <alignment vertical="center" textRotation="255"/>
    </xf>
    <xf numFmtId="176" fontId="12" fillId="8" borderId="23" xfId="4" applyNumberFormat="1" applyFont="1" applyFill="1" applyBorder="1" applyAlignment="1" applyProtection="1">
      <alignment vertical="center" textRotation="255"/>
    </xf>
    <xf numFmtId="176" fontId="12" fillId="8" borderId="24" xfId="4" applyNumberFormat="1" applyFont="1" applyFill="1" applyBorder="1" applyAlignment="1" applyProtection="1">
      <alignment vertical="center" textRotation="255"/>
    </xf>
    <xf numFmtId="0" fontId="0" fillId="8" borderId="24" xfId="0" applyFill="1" applyBorder="1" applyAlignment="1">
      <alignment vertical="center" textRotation="255"/>
    </xf>
    <xf numFmtId="0" fontId="0" fillId="8" borderId="50" xfId="0" applyFill="1" applyBorder="1" applyAlignment="1">
      <alignment vertical="center" textRotation="255"/>
    </xf>
    <xf numFmtId="176" fontId="0" fillId="0" borderId="23" xfId="4" applyNumberFormat="1" applyFont="1" applyFill="1" applyBorder="1" applyAlignment="1" applyProtection="1">
      <alignment vertical="center" textRotation="255" wrapText="1" shrinkToFit="1"/>
    </xf>
    <xf numFmtId="176" fontId="0" fillId="0" borderId="24" xfId="4" applyNumberFormat="1" applyFont="1" applyFill="1" applyBorder="1" applyAlignment="1" applyProtection="1">
      <alignment vertical="center" textRotation="255" wrapText="1" shrinkToFit="1"/>
    </xf>
    <xf numFmtId="176" fontId="0" fillId="0" borderId="50" xfId="4" applyNumberFormat="1" applyFont="1" applyFill="1" applyBorder="1" applyAlignment="1" applyProtection="1">
      <alignment vertical="center" textRotation="255" wrapText="1" shrinkToFit="1"/>
    </xf>
    <xf numFmtId="176" fontId="1" fillId="0" borderId="77" xfId="4" applyNumberFormat="1" applyFont="1" applyFill="1" applyBorder="1" applyAlignment="1" applyProtection="1">
      <alignment horizontal="center" vertical="center"/>
    </xf>
    <xf numFmtId="176" fontId="1" fillId="0" borderId="150" xfId="4" applyNumberFormat="1" applyFont="1" applyFill="1" applyBorder="1" applyAlignment="1" applyProtection="1">
      <alignment horizontal="center" vertical="center"/>
    </xf>
    <xf numFmtId="176" fontId="1" fillId="0" borderId="56" xfId="4" applyNumberFormat="1" applyFont="1" applyFill="1" applyBorder="1" applyAlignment="1" applyProtection="1">
      <alignment horizontal="center" vertical="center"/>
    </xf>
    <xf numFmtId="176" fontId="12" fillId="8" borderId="23" xfId="4" applyNumberFormat="1" applyFont="1" applyFill="1" applyBorder="1" applyAlignment="1" applyProtection="1">
      <alignment horizontal="center" vertical="center"/>
    </xf>
    <xf numFmtId="0" fontId="12" fillId="8" borderId="22" xfId="0" applyFont="1" applyFill="1" applyBorder="1" applyAlignment="1">
      <alignment vertical="center"/>
    </xf>
    <xf numFmtId="0" fontId="12" fillId="8" borderId="24" xfId="0" applyFont="1" applyFill="1" applyBorder="1" applyAlignment="1">
      <alignment vertical="center"/>
    </xf>
    <xf numFmtId="0" fontId="12" fillId="8" borderId="0" xfId="0" applyFont="1" applyFill="1" applyAlignment="1">
      <alignment vertical="center"/>
    </xf>
    <xf numFmtId="176" fontId="1" fillId="8" borderId="4" xfId="4" applyNumberFormat="1" applyFont="1" applyFill="1" applyBorder="1" applyAlignment="1" applyProtection="1">
      <alignment vertical="center" textRotation="255"/>
    </xf>
    <xf numFmtId="176" fontId="0" fillId="0" borderId="4" xfId="4" applyNumberFormat="1" applyFont="1" applyFill="1" applyBorder="1" applyAlignment="1" applyProtection="1">
      <alignment vertical="center" textRotation="255"/>
    </xf>
    <xf numFmtId="176" fontId="0" fillId="0" borderId="18" xfId="4" applyNumberFormat="1" applyFont="1" applyFill="1" applyBorder="1" applyAlignment="1" applyProtection="1">
      <alignment vertical="center"/>
    </xf>
    <xf numFmtId="0" fontId="12" fillId="0" borderId="18" xfId="0" applyFont="1" applyBorder="1" applyAlignment="1">
      <alignment vertical="center"/>
    </xf>
    <xf numFmtId="176" fontId="0" fillId="8" borderId="180" xfId="4" applyNumberFormat="1" applyFont="1" applyFill="1" applyBorder="1" applyAlignment="1" applyProtection="1">
      <alignment vertical="center" textRotation="255"/>
    </xf>
    <xf numFmtId="176" fontId="1" fillId="8" borderId="181" xfId="4" applyNumberFormat="1" applyFont="1" applyFill="1" applyBorder="1" applyAlignment="1" applyProtection="1">
      <alignment vertical="center" textRotation="255"/>
    </xf>
    <xf numFmtId="176" fontId="0" fillId="8" borderId="183" xfId="4" applyNumberFormat="1" applyFont="1" applyFill="1" applyBorder="1" applyAlignment="1" applyProtection="1">
      <alignment vertical="center" textRotation="255"/>
    </xf>
    <xf numFmtId="0" fontId="0" fillId="8" borderId="3" xfId="0" applyFill="1" applyBorder="1" applyAlignment="1">
      <alignment vertical="center" textRotation="255"/>
    </xf>
    <xf numFmtId="0" fontId="0" fillId="8" borderId="17" xfId="0" applyFill="1" applyBorder="1" applyAlignment="1">
      <alignment vertical="center" textRotation="255"/>
    </xf>
    <xf numFmtId="176" fontId="0" fillId="0" borderId="52" xfId="4" applyNumberFormat="1" applyFont="1" applyFill="1" applyBorder="1" applyAlignment="1" applyProtection="1">
      <alignment horizontal="center" vertical="center"/>
    </xf>
    <xf numFmtId="176" fontId="0" fillId="0" borderId="1" xfId="4" applyNumberFormat="1" applyFont="1" applyFill="1" applyBorder="1" applyAlignment="1" applyProtection="1">
      <alignment horizontal="center" vertical="center"/>
    </xf>
    <xf numFmtId="176" fontId="0" fillId="0" borderId="8" xfId="4" applyNumberFormat="1" applyFont="1" applyFill="1" applyBorder="1" applyAlignment="1" applyProtection="1">
      <alignment horizontal="center" vertical="center"/>
    </xf>
    <xf numFmtId="176" fontId="1" fillId="14" borderId="186" xfId="4" applyNumberFormat="1" applyFont="1" applyFill="1" applyBorder="1" applyAlignment="1" applyProtection="1">
      <alignment vertical="center"/>
    </xf>
    <xf numFmtId="176" fontId="1" fillId="14" borderId="187" xfId="4" applyNumberFormat="1" applyFont="1" applyFill="1" applyBorder="1" applyAlignment="1" applyProtection="1">
      <alignment vertical="center"/>
    </xf>
    <xf numFmtId="176" fontId="1" fillId="14" borderId="188" xfId="4" applyNumberFormat="1" applyFont="1" applyFill="1" applyBorder="1" applyAlignment="1" applyProtection="1">
      <alignment vertical="center"/>
    </xf>
    <xf numFmtId="176" fontId="0" fillId="14" borderId="57" xfId="4" applyNumberFormat="1" applyFont="1" applyFill="1" applyBorder="1" applyAlignment="1" applyProtection="1">
      <alignment horizontal="center" vertical="center"/>
    </xf>
    <xf numFmtId="176" fontId="0" fillId="14" borderId="150" xfId="4" applyNumberFormat="1" applyFont="1" applyFill="1" applyBorder="1" applyAlignment="1" applyProtection="1">
      <alignment horizontal="center" vertical="center"/>
    </xf>
    <xf numFmtId="176" fontId="0" fillId="14" borderId="56" xfId="4" applyNumberFormat="1" applyFont="1" applyFill="1" applyBorder="1" applyAlignment="1" applyProtection="1">
      <alignment horizontal="center" vertical="center"/>
    </xf>
    <xf numFmtId="176" fontId="12" fillId="8" borderId="183" xfId="4" applyNumberFormat="1" applyFont="1" applyFill="1" applyBorder="1" applyAlignment="1" applyProtection="1">
      <alignment vertical="center" textRotation="255"/>
    </xf>
    <xf numFmtId="176" fontId="12" fillId="8" borderId="3" xfId="4" applyNumberFormat="1" applyFont="1" applyFill="1" applyBorder="1" applyAlignment="1" applyProtection="1">
      <alignment vertical="center" textRotation="255"/>
    </xf>
    <xf numFmtId="0" fontId="0" fillId="0" borderId="17" xfId="0" applyBorder="1" applyAlignment="1">
      <alignment vertical="center" textRotation="255"/>
    </xf>
    <xf numFmtId="176" fontId="0" fillId="0" borderId="45" xfId="4" applyNumberFormat="1" applyFont="1" applyFill="1" applyBorder="1" applyAlignment="1" applyProtection="1">
      <alignment vertical="center" textRotation="255"/>
    </xf>
    <xf numFmtId="176" fontId="0" fillId="0" borderId="60" xfId="4" applyNumberFormat="1" applyFont="1" applyFill="1" applyBorder="1" applyAlignment="1" applyProtection="1">
      <alignment vertical="center" textRotation="255"/>
    </xf>
    <xf numFmtId="176" fontId="0" fillId="0" borderId="24" xfId="4" applyNumberFormat="1" applyFont="1" applyFill="1" applyBorder="1" applyAlignment="1" applyProtection="1">
      <alignment vertical="center" textRotation="255"/>
    </xf>
    <xf numFmtId="176" fontId="0" fillId="0" borderId="0" xfId="4" applyNumberFormat="1" applyFont="1" applyFill="1" applyBorder="1" applyAlignment="1" applyProtection="1">
      <alignment vertical="center" textRotation="255"/>
    </xf>
    <xf numFmtId="176" fontId="0" fillId="0" borderId="50" xfId="4" applyNumberFormat="1" applyFont="1" applyFill="1" applyBorder="1" applyAlignment="1" applyProtection="1">
      <alignment vertical="center" textRotation="255"/>
    </xf>
    <xf numFmtId="176" fontId="0" fillId="0" borderId="38" xfId="4" applyNumberFormat="1" applyFont="1" applyFill="1" applyBorder="1" applyAlignment="1" applyProtection="1">
      <alignment vertical="center" textRotation="255"/>
    </xf>
    <xf numFmtId="176" fontId="0" fillId="0" borderId="52" xfId="4" applyNumberFormat="1" applyFont="1" applyFill="1" applyBorder="1" applyAlignment="1" applyProtection="1">
      <alignment vertical="center"/>
    </xf>
    <xf numFmtId="176" fontId="1" fillId="0" borderId="1" xfId="4" applyNumberFormat="1" applyFont="1" applyFill="1" applyBorder="1" applyAlignment="1" applyProtection="1">
      <alignment vertical="center"/>
    </xf>
    <xf numFmtId="176" fontId="1" fillId="0" borderId="8" xfId="4" applyNumberFormat="1" applyFont="1" applyFill="1" applyBorder="1" applyAlignment="1" applyProtection="1">
      <alignment vertical="center"/>
    </xf>
    <xf numFmtId="176" fontId="0" fillId="5" borderId="216" xfId="4" applyNumberFormat="1" applyFont="1" applyFill="1" applyBorder="1" applyAlignment="1" applyProtection="1">
      <alignment vertical="center"/>
      <protection locked="0"/>
    </xf>
    <xf numFmtId="176" fontId="0" fillId="5" borderId="66" xfId="4" applyNumberFormat="1" applyFont="1" applyFill="1" applyBorder="1" applyAlignment="1" applyProtection="1">
      <alignment vertical="center"/>
      <protection locked="0"/>
    </xf>
    <xf numFmtId="176" fontId="0" fillId="5" borderId="217" xfId="4" applyNumberFormat="1" applyFont="1" applyFill="1" applyBorder="1" applyAlignment="1" applyProtection="1">
      <alignment vertical="center"/>
      <protection locked="0"/>
    </xf>
    <xf numFmtId="176" fontId="12" fillId="0" borderId="14" xfId="4" applyNumberFormat="1" applyFont="1" applyFill="1" applyBorder="1" applyAlignment="1" applyProtection="1">
      <alignment horizontal="center" vertical="center"/>
    </xf>
    <xf numFmtId="0" fontId="0" fillId="0" borderId="14" xfId="0" applyBorder="1" applyAlignment="1">
      <alignment horizontal="center" vertical="center"/>
    </xf>
    <xf numFmtId="0" fontId="0" fillId="8" borderId="22" xfId="0" applyFill="1" applyBorder="1" applyAlignment="1">
      <alignment horizontal="center" vertical="center"/>
    </xf>
    <xf numFmtId="0" fontId="0" fillId="8" borderId="50" xfId="0" applyFill="1" applyBorder="1" applyAlignment="1">
      <alignment horizontal="center" vertical="center"/>
    </xf>
    <xf numFmtId="0" fontId="0" fillId="8" borderId="38" xfId="0" applyFill="1" applyBorder="1" applyAlignment="1">
      <alignment horizontal="center" vertical="center"/>
    </xf>
    <xf numFmtId="176" fontId="1" fillId="0" borderId="38" xfId="4" applyNumberFormat="1" applyFill="1" applyBorder="1" applyAlignment="1" applyProtection="1">
      <alignment vertical="center"/>
    </xf>
    <xf numFmtId="176" fontId="0" fillId="0" borderId="53" xfId="4" applyNumberFormat="1" applyFont="1" applyFill="1" applyBorder="1" applyAlignment="1" applyProtection="1">
      <alignment vertical="center"/>
    </xf>
    <xf numFmtId="176" fontId="0" fillId="0" borderId="112" xfId="4" applyNumberFormat="1" applyFont="1" applyFill="1" applyBorder="1" applyAlignment="1" applyProtection="1">
      <alignment vertical="center"/>
    </xf>
    <xf numFmtId="176" fontId="0" fillId="0" borderId="5" xfId="4" applyNumberFormat="1" applyFont="1" applyFill="1" applyBorder="1" applyAlignment="1" applyProtection="1">
      <alignment vertical="center"/>
    </xf>
    <xf numFmtId="176" fontId="0" fillId="0" borderId="55" xfId="4" applyNumberFormat="1" applyFont="1" applyFill="1" applyBorder="1" applyAlignment="1" applyProtection="1">
      <alignment vertical="center"/>
    </xf>
    <xf numFmtId="176" fontId="0" fillId="0" borderId="20" xfId="4" applyNumberFormat="1" applyFont="1" applyFill="1" applyBorder="1" applyAlignment="1" applyProtection="1">
      <alignment vertical="center"/>
    </xf>
    <xf numFmtId="176" fontId="0" fillId="0" borderId="7" xfId="4" applyNumberFormat="1" applyFont="1" applyFill="1" applyBorder="1" applyAlignment="1" applyProtection="1">
      <alignment vertical="center"/>
    </xf>
    <xf numFmtId="176" fontId="0" fillId="8" borderId="23" xfId="4" applyNumberFormat="1" applyFont="1" applyFill="1" applyBorder="1" applyAlignment="1" applyProtection="1">
      <alignment horizontal="center" vertical="center" textRotation="255"/>
    </xf>
    <xf numFmtId="0" fontId="0" fillId="8" borderId="24" xfId="0" applyFill="1" applyBorder="1" applyAlignment="1">
      <alignment horizontal="center" vertical="center" textRotation="255"/>
    </xf>
    <xf numFmtId="0" fontId="0" fillId="8" borderId="50" xfId="0" applyFill="1" applyBorder="1" applyAlignment="1">
      <alignment horizontal="center" vertical="center" textRotation="255"/>
    </xf>
    <xf numFmtId="0" fontId="0" fillId="0" borderId="18" xfId="0" applyBorder="1" applyAlignment="1">
      <alignment vertical="center"/>
    </xf>
    <xf numFmtId="176" fontId="12" fillId="0" borderId="57" xfId="4" applyNumberFormat="1" applyFont="1" applyFill="1" applyBorder="1" applyAlignment="1" applyProtection="1">
      <alignment horizontal="center" vertical="center"/>
    </xf>
    <xf numFmtId="0" fontId="0" fillId="0" borderId="150" xfId="0" applyBorder="1" applyAlignment="1">
      <alignment horizontal="center" vertical="center"/>
    </xf>
    <xf numFmtId="176" fontId="1" fillId="0" borderId="24" xfId="4" applyNumberFormat="1" applyFont="1" applyFill="1" applyBorder="1" applyAlignment="1" applyProtection="1">
      <alignment vertical="center" textRotation="255"/>
    </xf>
    <xf numFmtId="0" fontId="0" fillId="0" borderId="0" xfId="0" applyAlignment="1">
      <alignment vertical="center"/>
    </xf>
    <xf numFmtId="0" fontId="0" fillId="0" borderId="24" xfId="0" applyBorder="1" applyAlignment="1">
      <alignment vertical="center" textRotation="255"/>
    </xf>
    <xf numFmtId="0" fontId="0" fillId="0" borderId="176" xfId="0" applyBorder="1" applyAlignment="1">
      <alignment vertical="center" textRotation="255"/>
    </xf>
    <xf numFmtId="0" fontId="0" fillId="0" borderId="69" xfId="0" applyBorder="1" applyAlignment="1">
      <alignment vertical="center"/>
    </xf>
    <xf numFmtId="176" fontId="0" fillId="0" borderId="180" xfId="4" applyNumberFormat="1" applyFont="1" applyFill="1" applyBorder="1" applyAlignment="1" applyProtection="1">
      <alignment horizontal="center" vertical="center" textRotation="255" wrapText="1"/>
    </xf>
    <xf numFmtId="0" fontId="0" fillId="0" borderId="151" xfId="0" applyBorder="1" applyAlignment="1">
      <alignment vertical="center" textRotation="255"/>
    </xf>
    <xf numFmtId="176" fontId="1" fillId="0" borderId="24" xfId="4" applyNumberFormat="1" applyFont="1" applyFill="1" applyBorder="1" applyAlignment="1" applyProtection="1">
      <alignment horizontal="center" vertical="center" textRotation="255" wrapText="1"/>
    </xf>
    <xf numFmtId="0" fontId="0" fillId="0" borderId="0" xfId="0" applyAlignment="1">
      <alignment vertical="center" textRotation="255"/>
    </xf>
    <xf numFmtId="0" fontId="0" fillId="0" borderId="69" xfId="0" applyBorder="1" applyAlignment="1">
      <alignment vertical="center" textRotation="255"/>
    </xf>
    <xf numFmtId="176" fontId="1" fillId="14" borderId="57" xfId="4" applyNumberFormat="1" applyFont="1" applyFill="1" applyBorder="1" applyAlignment="1" applyProtection="1">
      <alignment horizontal="center" vertical="center"/>
    </xf>
    <xf numFmtId="0" fontId="0" fillId="14" borderId="150" xfId="0" applyFill="1" applyBorder="1" applyAlignment="1">
      <alignment horizontal="center" vertical="center"/>
    </xf>
    <xf numFmtId="0" fontId="0" fillId="14" borderId="56" xfId="0" applyFill="1" applyBorder="1" applyAlignment="1">
      <alignment horizontal="center" vertical="center"/>
    </xf>
    <xf numFmtId="176" fontId="0" fillId="0" borderId="180" xfId="4" applyNumberFormat="1" applyFont="1" applyFill="1" applyBorder="1" applyAlignment="1" applyProtection="1">
      <alignment vertical="center" textRotation="255" wrapText="1"/>
    </xf>
    <xf numFmtId="0" fontId="0" fillId="0" borderId="181" xfId="0" applyBorder="1" applyAlignment="1">
      <alignment vertical="center" textRotation="255"/>
    </xf>
    <xf numFmtId="0" fontId="0" fillId="0" borderId="27" xfId="0" applyBorder="1" applyAlignment="1">
      <alignment vertical="center" textRotation="255"/>
    </xf>
    <xf numFmtId="0" fontId="0" fillId="0" borderId="174" xfId="0" applyBorder="1" applyAlignment="1">
      <alignment vertical="center" textRotation="255"/>
    </xf>
    <xf numFmtId="176" fontId="5" fillId="0" borderId="182" xfId="4" applyNumberFormat="1" applyFont="1" applyFill="1" applyBorder="1" applyAlignment="1" applyProtection="1">
      <alignment vertical="center" textRotation="255"/>
    </xf>
    <xf numFmtId="176" fontId="5" fillId="0" borderId="3" xfId="4" applyNumberFormat="1" applyFont="1" applyFill="1" applyBorder="1" applyAlignment="1" applyProtection="1">
      <alignment vertical="center" textRotation="255"/>
    </xf>
    <xf numFmtId="176" fontId="5" fillId="0" borderId="4" xfId="4" applyNumberFormat="1" applyFont="1" applyFill="1" applyBorder="1" applyAlignment="1" applyProtection="1">
      <alignment vertical="center" textRotation="255"/>
    </xf>
    <xf numFmtId="176" fontId="0" fillId="14" borderId="54" xfId="4" applyNumberFormat="1" applyFont="1" applyFill="1" applyBorder="1" applyAlignment="1" applyProtection="1">
      <alignment vertical="center" shrinkToFit="1"/>
    </xf>
    <xf numFmtId="176" fontId="1" fillId="14" borderId="6" xfId="4" applyNumberFormat="1" applyFont="1" applyFill="1" applyBorder="1" applyAlignment="1" applyProtection="1">
      <alignment vertical="center" shrinkToFit="1"/>
    </xf>
    <xf numFmtId="176" fontId="4" fillId="0" borderId="55" xfId="4" applyNumberFormat="1" applyFont="1" applyFill="1" applyBorder="1" applyAlignment="1" applyProtection="1">
      <alignment vertical="center"/>
    </xf>
    <xf numFmtId="176" fontId="4" fillId="0" borderId="7" xfId="4" applyNumberFormat="1" applyFont="1" applyFill="1" applyBorder="1" applyAlignment="1" applyProtection="1">
      <alignment vertical="center"/>
    </xf>
    <xf numFmtId="176" fontId="1" fillId="0" borderId="54" xfId="4" applyNumberFormat="1" applyFont="1" applyFill="1" applyBorder="1" applyAlignment="1" applyProtection="1">
      <alignment vertical="center" shrinkToFit="1"/>
    </xf>
    <xf numFmtId="176" fontId="1" fillId="0" borderId="6" xfId="4" applyNumberFormat="1" applyFont="1" applyFill="1" applyBorder="1" applyAlignment="1" applyProtection="1">
      <alignment vertical="center" shrinkToFit="1"/>
    </xf>
    <xf numFmtId="176" fontId="0" fillId="0" borderId="68" xfId="4" applyNumberFormat="1" applyFont="1" applyFill="1" applyBorder="1" applyAlignment="1" applyProtection="1">
      <alignment vertical="center" shrinkToFit="1"/>
    </xf>
    <xf numFmtId="176" fontId="0" fillId="0" borderId="63"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wrapText="1"/>
    </xf>
    <xf numFmtId="0" fontId="12" fillId="0" borderId="2" xfId="0" applyFont="1" applyBorder="1" applyAlignment="1">
      <alignment vertical="center"/>
    </xf>
    <xf numFmtId="176" fontId="1" fillId="0" borderId="52" xfId="4" applyNumberFormat="1" applyFont="1" applyFill="1" applyBorder="1" applyAlignment="1" applyProtection="1">
      <alignment vertical="center"/>
    </xf>
    <xf numFmtId="176" fontId="0" fillId="0" borderId="12" xfId="4" applyNumberFormat="1" applyFont="1" applyFill="1" applyBorder="1" applyAlignment="1" applyProtection="1">
      <alignment vertical="center"/>
    </xf>
    <xf numFmtId="0" fontId="0" fillId="0" borderId="12" xfId="0" applyBorder="1" applyAlignment="1">
      <alignment vertical="center"/>
    </xf>
    <xf numFmtId="176" fontId="0" fillId="0" borderId="11" xfId="4" applyNumberFormat="1" applyFont="1" applyFill="1" applyBorder="1" applyAlignment="1" applyProtection="1">
      <alignment vertical="center"/>
    </xf>
    <xf numFmtId="0" fontId="0" fillId="0" borderId="11" xfId="0" applyBorder="1" applyAlignment="1">
      <alignment vertical="center"/>
    </xf>
    <xf numFmtId="176" fontId="6" fillId="8" borderId="4" xfId="4" applyNumberFormat="1" applyFont="1" applyFill="1" applyBorder="1" applyAlignment="1" applyProtection="1">
      <alignment horizontal="center" vertical="center"/>
    </xf>
    <xf numFmtId="0" fontId="6" fillId="0" borderId="3" xfId="0" applyFont="1" applyBorder="1" applyAlignment="1">
      <alignment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56" xfId="0" applyBorder="1" applyAlignment="1">
      <alignment horizontal="center" vertical="center"/>
    </xf>
    <xf numFmtId="176" fontId="0" fillId="0" borderId="12" xfId="4" applyNumberFormat="1" applyFont="1" applyFill="1" applyBorder="1" applyAlignment="1" applyProtection="1">
      <alignment vertical="center" wrapText="1"/>
    </xf>
    <xf numFmtId="176" fontId="12" fillId="0" borderId="77" xfId="4" applyNumberFormat="1" applyFont="1" applyFill="1" applyBorder="1" applyAlignment="1" applyProtection="1">
      <alignment horizontal="center" vertical="center"/>
    </xf>
    <xf numFmtId="176" fontId="0" fillId="0" borderId="180" xfId="4" applyNumberFormat="1" applyFont="1" applyFill="1" applyBorder="1" applyAlignment="1" applyProtection="1">
      <alignment horizontal="center" vertical="center" wrapText="1"/>
    </xf>
    <xf numFmtId="0" fontId="0" fillId="0" borderId="181"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176" fontId="0" fillId="26" borderId="68" xfId="4" applyNumberFormat="1" applyFont="1" applyFill="1" applyBorder="1" applyAlignment="1" applyProtection="1">
      <alignment vertical="center"/>
    </xf>
    <xf numFmtId="176" fontId="1" fillId="26" borderId="63" xfId="4" applyNumberFormat="1" applyFont="1" applyFill="1" applyBorder="1" applyAlignment="1" applyProtection="1">
      <alignment vertical="center"/>
    </xf>
    <xf numFmtId="176" fontId="0" fillId="14" borderId="61" xfId="4" applyNumberFormat="1" applyFont="1" applyFill="1" applyBorder="1" applyAlignment="1" applyProtection="1">
      <alignment vertical="center"/>
    </xf>
    <xf numFmtId="176" fontId="1" fillId="0" borderId="57" xfId="4" applyNumberFormat="1" applyFont="1" applyFill="1" applyBorder="1" applyAlignment="1" applyProtection="1">
      <alignment vertical="center"/>
    </xf>
    <xf numFmtId="0" fontId="0" fillId="0" borderId="150" xfId="0" applyBorder="1" applyAlignment="1">
      <alignment vertical="center"/>
    </xf>
    <xf numFmtId="0" fontId="0" fillId="0" borderId="56" xfId="0" applyBorder="1" applyAlignment="1">
      <alignment vertical="center"/>
    </xf>
    <xf numFmtId="176" fontId="0" fillId="0" borderId="11" xfId="4" applyNumberFormat="1" applyFont="1" applyFill="1" applyBorder="1" applyAlignment="1" applyProtection="1">
      <alignment vertical="center" wrapText="1"/>
    </xf>
    <xf numFmtId="192" fontId="16" fillId="6" borderId="0" xfId="4" applyNumberFormat="1" applyFont="1" applyFill="1" applyBorder="1" applyAlignment="1" applyProtection="1">
      <alignment vertical="center"/>
      <protection locked="0"/>
    </xf>
    <xf numFmtId="176" fontId="0" fillId="0" borderId="54" xfId="4" applyNumberFormat="1" applyFont="1" applyFill="1" applyBorder="1" applyAlignment="1" applyProtection="1">
      <alignment vertical="center" shrinkToFit="1"/>
    </xf>
    <xf numFmtId="176" fontId="0" fillId="0" borderId="6" xfId="4" applyNumberFormat="1" applyFont="1" applyFill="1" applyBorder="1" applyAlignment="1" applyProtection="1">
      <alignment vertical="center" shrinkToFit="1"/>
    </xf>
    <xf numFmtId="176" fontId="16" fillId="0" borderId="0" xfId="4" applyNumberFormat="1" applyFont="1" applyFill="1" applyBorder="1" applyAlignment="1" applyProtection="1">
      <alignment horizontal="center" vertical="center"/>
    </xf>
    <xf numFmtId="0" fontId="0" fillId="0" borderId="0" xfId="0" applyAlignment="1">
      <alignment horizontal="center" vertical="center"/>
    </xf>
    <xf numFmtId="176" fontId="17" fillId="0" borderId="0" xfId="4" applyNumberFormat="1" applyFont="1" applyFill="1" applyBorder="1" applyAlignment="1" applyProtection="1">
      <alignment horizontal="center" vertical="center"/>
    </xf>
    <xf numFmtId="176" fontId="0" fillId="0" borderId="18" xfId="4" applyNumberFormat="1" applyFont="1" applyFill="1" applyBorder="1" applyAlignment="1" applyProtection="1">
      <alignment vertical="center" wrapText="1"/>
    </xf>
    <xf numFmtId="176" fontId="0" fillId="14" borderId="77" xfId="4" applyNumberFormat="1" applyFont="1" applyFill="1" applyBorder="1" applyAlignment="1" applyProtection="1">
      <alignment horizontal="center" vertical="center"/>
    </xf>
    <xf numFmtId="176" fontId="1" fillId="0" borderId="19" xfId="4" applyNumberFormat="1" applyFont="1" applyFill="1" applyBorder="1" applyAlignment="1" applyProtection="1">
      <alignment vertical="center"/>
    </xf>
    <xf numFmtId="176" fontId="0" fillId="0" borderId="61" xfId="4" applyNumberFormat="1" applyFont="1" applyFill="1" applyBorder="1" applyAlignment="1" applyProtection="1">
      <alignment vertical="center"/>
    </xf>
    <xf numFmtId="176" fontId="0" fillId="0" borderId="148" xfId="4" applyNumberFormat="1" applyFont="1" applyFill="1" applyBorder="1" applyAlignment="1" applyProtection="1">
      <alignment vertical="center"/>
    </xf>
    <xf numFmtId="176" fontId="0" fillId="0" borderId="166" xfId="4" applyNumberFormat="1" applyFont="1" applyFill="1" applyBorder="1" applyAlignment="1" applyProtection="1">
      <alignment vertical="center"/>
    </xf>
    <xf numFmtId="176" fontId="1" fillId="14" borderId="112" xfId="4" applyNumberFormat="1" applyFont="1" applyFill="1" applyBorder="1" applyAlignment="1" applyProtection="1">
      <alignment vertical="center"/>
    </xf>
    <xf numFmtId="0" fontId="6" fillId="0" borderId="17" xfId="0" applyFont="1" applyBorder="1" applyAlignment="1">
      <alignment vertical="center"/>
    </xf>
    <xf numFmtId="176" fontId="66" fillId="14" borderId="26" xfId="4" applyNumberFormat="1" applyFont="1" applyFill="1" applyBorder="1" applyAlignment="1" applyProtection="1">
      <alignment vertical="center" wrapText="1"/>
      <protection locked="0"/>
    </xf>
    <xf numFmtId="176" fontId="66" fillId="14" borderId="175" xfId="4" applyNumberFormat="1" applyFont="1" applyFill="1" applyBorder="1" applyAlignment="1" applyProtection="1">
      <alignment vertical="center" wrapText="1"/>
      <protection locked="0"/>
    </xf>
    <xf numFmtId="176" fontId="67" fillId="14" borderId="26" xfId="4" applyNumberFormat="1" applyFont="1" applyFill="1" applyBorder="1" applyAlignment="1" applyProtection="1">
      <alignment vertical="center" wrapText="1"/>
      <protection locked="0"/>
    </xf>
    <xf numFmtId="176" fontId="67" fillId="14" borderId="13" xfId="4" applyNumberFormat="1" applyFont="1" applyFill="1" applyBorder="1" applyAlignment="1" applyProtection="1">
      <alignment vertical="center"/>
      <protection locked="0"/>
    </xf>
    <xf numFmtId="176" fontId="66" fillId="14" borderId="4" xfId="4" applyNumberFormat="1" applyFont="1" applyFill="1" applyBorder="1" applyAlignment="1" applyProtection="1">
      <alignment vertical="center" wrapText="1"/>
      <protection locked="0"/>
    </xf>
    <xf numFmtId="176" fontId="66" fillId="14" borderId="3" xfId="4" applyNumberFormat="1" applyFont="1" applyFill="1" applyBorder="1" applyAlignment="1" applyProtection="1">
      <alignment vertical="center" wrapText="1"/>
      <protection locked="0"/>
    </xf>
    <xf numFmtId="176" fontId="66" fillId="14" borderId="17" xfId="4" applyNumberFormat="1" applyFont="1" applyFill="1" applyBorder="1" applyAlignment="1" applyProtection="1">
      <alignment vertical="center" wrapText="1"/>
      <protection locked="0"/>
    </xf>
    <xf numFmtId="176" fontId="70" fillId="14" borderId="26" xfId="4" applyNumberFormat="1" applyFont="1" applyFill="1" applyBorder="1" applyAlignment="1" applyProtection="1">
      <alignment vertical="center" wrapText="1"/>
      <protection locked="0"/>
    </xf>
    <xf numFmtId="176" fontId="70" fillId="14" borderId="17" xfId="4" applyNumberFormat="1" applyFont="1" applyFill="1" applyBorder="1" applyAlignment="1" applyProtection="1">
      <alignment vertical="center" wrapText="1"/>
      <protection locked="0"/>
    </xf>
    <xf numFmtId="176" fontId="67" fillId="14" borderId="3" xfId="4" applyNumberFormat="1" applyFont="1" applyFill="1" applyBorder="1" applyAlignment="1" applyProtection="1">
      <alignment vertical="center" wrapText="1"/>
      <protection locked="0"/>
    </xf>
    <xf numFmtId="176" fontId="67" fillId="14" borderId="17" xfId="4" applyNumberFormat="1" applyFont="1" applyFill="1" applyBorder="1" applyAlignment="1" applyProtection="1">
      <alignment vertical="center" wrapText="1"/>
      <protection locked="0"/>
    </xf>
    <xf numFmtId="176" fontId="0" fillId="0" borderId="55" xfId="4" applyNumberFormat="1" applyFont="1" applyFill="1" applyBorder="1" applyAlignment="1" applyProtection="1">
      <alignment vertical="center" shrinkToFit="1"/>
    </xf>
    <xf numFmtId="176" fontId="0" fillId="0" borderId="20" xfId="4" applyNumberFormat="1" applyFont="1" applyFill="1" applyBorder="1" applyAlignment="1" applyProtection="1">
      <alignment vertical="center" shrinkToFit="1"/>
    </xf>
    <xf numFmtId="176" fontId="0" fillId="0" borderId="7" xfId="4" applyNumberFormat="1" applyFont="1" applyFill="1" applyBorder="1" applyAlignment="1" applyProtection="1">
      <alignment vertical="center" shrinkToFit="1"/>
    </xf>
    <xf numFmtId="0" fontId="0" fillId="9" borderId="17" xfId="0" applyFill="1" applyBorder="1" applyAlignment="1">
      <alignment vertical="center" shrinkToFit="1"/>
    </xf>
    <xf numFmtId="176" fontId="12" fillId="10" borderId="53" xfId="4" applyNumberFormat="1" applyFont="1" applyFill="1" applyBorder="1" applyAlignment="1" applyProtection="1">
      <alignment horizontal="center" vertical="center"/>
    </xf>
    <xf numFmtId="0" fontId="0" fillId="0" borderId="5" xfId="0" applyBorder="1" applyAlignment="1">
      <alignment vertical="center"/>
    </xf>
    <xf numFmtId="177" fontId="1" fillId="5" borderId="54" xfId="4" applyNumberFormat="1" applyFill="1" applyBorder="1" applyAlignment="1" applyProtection="1">
      <alignment vertical="center"/>
      <protection locked="0"/>
    </xf>
    <xf numFmtId="0" fontId="0" fillId="0" borderId="6" xfId="0" applyBorder="1" applyAlignment="1" applyProtection="1">
      <alignment vertical="center"/>
      <protection locked="0"/>
    </xf>
    <xf numFmtId="0" fontId="0" fillId="0" borderId="26" xfId="0" applyBorder="1" applyAlignment="1">
      <alignment vertical="center"/>
    </xf>
    <xf numFmtId="0" fontId="0" fillId="0" borderId="2" xfId="0" applyBorder="1" applyAlignment="1">
      <alignment vertical="center"/>
    </xf>
    <xf numFmtId="0" fontId="0" fillId="0" borderId="13" xfId="0" applyBorder="1" applyAlignment="1">
      <alignment vertical="center"/>
    </xf>
    <xf numFmtId="0" fontId="0" fillId="0" borderId="73" xfId="0" applyBorder="1" applyAlignment="1">
      <alignment vertical="center"/>
    </xf>
    <xf numFmtId="176" fontId="1" fillId="5" borderId="53" xfId="4" applyNumberFormat="1" applyFill="1" applyBorder="1" applyAlignment="1" applyProtection="1">
      <alignment vertical="center"/>
      <protection locked="0"/>
    </xf>
    <xf numFmtId="0" fontId="0" fillId="0" borderId="5" xfId="0" applyBorder="1" applyAlignment="1" applyProtection="1">
      <alignment vertical="center"/>
      <protection locked="0"/>
    </xf>
    <xf numFmtId="176" fontId="1" fillId="5" borderId="55" xfId="4" applyNumberFormat="1" applyFill="1" applyBorder="1" applyAlignment="1" applyProtection="1">
      <alignment vertical="center"/>
      <protection locked="0"/>
    </xf>
    <xf numFmtId="0" fontId="0" fillId="0" borderId="7" xfId="0" applyBorder="1" applyAlignment="1" applyProtection="1">
      <alignment vertical="center"/>
      <protection locked="0"/>
    </xf>
    <xf numFmtId="0" fontId="0" fillId="9" borderId="17" xfId="0" applyFill="1" applyBorder="1" applyAlignment="1">
      <alignment vertical="center"/>
    </xf>
    <xf numFmtId="176" fontId="0" fillId="0" borderId="53" xfId="4" applyNumberFormat="1" applyFont="1" applyFill="1" applyBorder="1" applyAlignment="1" applyProtection="1">
      <alignment vertical="center" shrinkToFit="1"/>
    </xf>
    <xf numFmtId="176" fontId="0" fillId="0" borderId="112" xfId="4" applyNumberFormat="1" applyFont="1" applyFill="1" applyBorder="1" applyAlignment="1" applyProtection="1">
      <alignment vertical="center" shrinkToFit="1"/>
    </xf>
    <xf numFmtId="176" fontId="0" fillId="0" borderId="5" xfId="4" applyNumberFormat="1" applyFont="1" applyFill="1" applyBorder="1" applyAlignment="1" applyProtection="1">
      <alignment vertical="center" shrinkToFit="1"/>
    </xf>
    <xf numFmtId="177" fontId="1" fillId="5" borderId="55" xfId="4" applyNumberFormat="1" applyFill="1" applyBorder="1" applyAlignment="1" applyProtection="1">
      <alignment vertical="center"/>
      <protection locked="0"/>
    </xf>
    <xf numFmtId="0" fontId="0" fillId="0" borderId="53" xfId="0" applyBorder="1" applyAlignment="1">
      <alignment vertical="center"/>
    </xf>
    <xf numFmtId="0" fontId="0" fillId="0" borderId="112" xfId="0" applyBorder="1" applyAlignment="1">
      <alignment vertical="center"/>
    </xf>
    <xf numFmtId="0" fontId="0" fillId="0" borderId="55"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0" fillId="0" borderId="52" xfId="0" applyBorder="1" applyAlignment="1">
      <alignment vertical="center"/>
    </xf>
    <xf numFmtId="0" fontId="0" fillId="0" borderId="1" xfId="0" applyBorder="1" applyAlignment="1">
      <alignment vertical="center"/>
    </xf>
    <xf numFmtId="0" fontId="0" fillId="0" borderId="8" xfId="0" applyBorder="1" applyAlignment="1">
      <alignment vertical="center"/>
    </xf>
    <xf numFmtId="176" fontId="0" fillId="0" borderId="12" xfId="4" applyNumberFormat="1" applyFont="1" applyFill="1" applyBorder="1" applyAlignment="1" applyProtection="1">
      <alignment vertical="center" shrinkToFit="1"/>
    </xf>
    <xf numFmtId="0" fontId="0" fillId="0" borderId="12" xfId="0" applyBorder="1" applyAlignment="1">
      <alignment vertical="center" shrinkToFit="1"/>
    </xf>
    <xf numFmtId="176" fontId="0" fillId="0" borderId="18" xfId="4" applyNumberFormat="1" applyFont="1" applyFill="1" applyBorder="1" applyAlignment="1" applyProtection="1">
      <alignment vertical="center" shrinkToFit="1"/>
    </xf>
    <xf numFmtId="0" fontId="0" fillId="0" borderId="18" xfId="0" applyBorder="1" applyAlignment="1">
      <alignment vertical="center" shrinkToFit="1"/>
    </xf>
    <xf numFmtId="0" fontId="0" fillId="9" borderId="12" xfId="0" applyFill="1" applyBorder="1" applyAlignment="1">
      <alignment vertical="center"/>
    </xf>
    <xf numFmtId="0" fontId="0" fillId="0" borderId="12" xfId="0" applyBorder="1" applyAlignment="1">
      <alignment vertical="center" wrapText="1"/>
    </xf>
    <xf numFmtId="176" fontId="16" fillId="0" borderId="77" xfId="4" applyNumberFormat="1" applyFont="1" applyFill="1" applyBorder="1" applyAlignment="1" applyProtection="1">
      <alignment vertical="center"/>
    </xf>
    <xf numFmtId="176" fontId="16" fillId="0" borderId="150" xfId="4" applyNumberFormat="1" applyFont="1" applyFill="1" applyBorder="1" applyAlignment="1" applyProtection="1">
      <alignment vertical="center"/>
    </xf>
    <xf numFmtId="176" fontId="16" fillId="0" borderId="179" xfId="4" applyNumberFormat="1" applyFont="1" applyFill="1" applyBorder="1" applyAlignment="1" applyProtection="1">
      <alignment vertical="center"/>
    </xf>
    <xf numFmtId="176" fontId="12" fillId="9" borderId="12" xfId="4" applyNumberFormat="1" applyFont="1" applyFill="1" applyBorder="1" applyAlignment="1" applyProtection="1">
      <alignment vertical="center"/>
    </xf>
    <xf numFmtId="176" fontId="0" fillId="0" borderId="26" xfId="4" applyNumberFormat="1" applyFont="1" applyFill="1" applyBorder="1" applyAlignment="1" applyProtection="1">
      <alignment vertical="center"/>
    </xf>
    <xf numFmtId="176" fontId="25" fillId="0" borderId="50" xfId="4" applyNumberFormat="1" applyFont="1" applyFill="1" applyBorder="1" applyAlignment="1" applyProtection="1">
      <alignment horizontal="center" vertical="center"/>
    </xf>
    <xf numFmtId="0" fontId="12" fillId="0" borderId="38" xfId="0" applyFont="1" applyBorder="1" applyAlignment="1">
      <alignment horizontal="center" vertical="center"/>
    </xf>
    <xf numFmtId="176" fontId="14" fillId="0" borderId="38" xfId="4" applyNumberFormat="1" applyFont="1" applyFill="1" applyBorder="1" applyAlignment="1" applyProtection="1">
      <alignment vertical="center" shrinkToFit="1"/>
    </xf>
    <xf numFmtId="0" fontId="12" fillId="0" borderId="38" xfId="0" applyFont="1" applyBorder="1" applyAlignment="1">
      <alignment vertical="center" shrinkToFit="1"/>
    </xf>
    <xf numFmtId="0" fontId="0" fillId="0" borderId="196" xfId="0" applyBorder="1" applyAlignment="1">
      <alignment vertical="center"/>
    </xf>
    <xf numFmtId="0" fontId="0" fillId="0" borderId="200" xfId="0" applyBorder="1" applyAlignment="1">
      <alignment vertical="center"/>
    </xf>
    <xf numFmtId="0" fontId="0" fillId="0" borderId="197" xfId="0" applyBorder="1" applyAlignment="1">
      <alignment vertical="center"/>
    </xf>
    <xf numFmtId="0" fontId="0" fillId="9" borderId="76" xfId="0" applyFill="1" applyBorder="1" applyAlignment="1">
      <alignment vertical="center"/>
    </xf>
    <xf numFmtId="0" fontId="0" fillId="9" borderId="201" xfId="0" applyFill="1" applyBorder="1" applyAlignment="1">
      <alignment vertical="center"/>
    </xf>
    <xf numFmtId="0" fontId="0" fillId="9" borderId="202" xfId="0" applyFill="1" applyBorder="1" applyAlignment="1">
      <alignment vertical="center"/>
    </xf>
    <xf numFmtId="176" fontId="14" fillId="0" borderId="38" xfId="4" applyNumberFormat="1" applyFont="1" applyFill="1" applyBorder="1" applyAlignment="1" applyProtection="1">
      <alignment vertical="center"/>
    </xf>
    <xf numFmtId="0" fontId="12" fillId="0" borderId="38" xfId="0" applyFont="1" applyBorder="1" applyAlignment="1">
      <alignment vertical="center"/>
    </xf>
    <xf numFmtId="176" fontId="25" fillId="0" borderId="11" xfId="4" applyNumberFormat="1" applyFont="1" applyFill="1" applyBorder="1" applyAlignment="1" applyProtection="1">
      <alignment vertical="center" shrinkToFit="1"/>
    </xf>
    <xf numFmtId="176" fontId="25" fillId="0" borderId="18" xfId="4" applyNumberFormat="1" applyFont="1" applyFill="1" applyBorder="1" applyAlignment="1" applyProtection="1">
      <alignment vertical="center" shrinkToFit="1"/>
    </xf>
    <xf numFmtId="176" fontId="25" fillId="0" borderId="13" xfId="4" applyNumberFormat="1" applyFont="1" applyFill="1" applyBorder="1" applyAlignment="1" applyProtection="1">
      <alignment vertical="center" shrinkToFit="1"/>
    </xf>
    <xf numFmtId="176" fontId="25" fillId="0" borderId="203" xfId="4" applyNumberFormat="1" applyFont="1" applyFill="1" applyBorder="1" applyAlignment="1" applyProtection="1">
      <alignment vertical="center"/>
    </xf>
    <xf numFmtId="0" fontId="12" fillId="0" borderId="204" xfId="0" applyFont="1" applyBorder="1" applyAlignment="1">
      <alignment vertical="center"/>
    </xf>
    <xf numFmtId="0" fontId="12" fillId="0" borderId="205" xfId="0" applyFont="1" applyBorder="1" applyAlignment="1">
      <alignment vertical="center"/>
    </xf>
    <xf numFmtId="0" fontId="0" fillId="9" borderId="52" xfId="0" applyFill="1" applyBorder="1" applyAlignment="1">
      <alignment vertical="center" shrinkToFit="1"/>
    </xf>
    <xf numFmtId="0" fontId="0" fillId="9" borderId="1" xfId="0" applyFill="1" applyBorder="1" applyAlignment="1">
      <alignment vertical="center" shrinkToFit="1"/>
    </xf>
    <xf numFmtId="0" fontId="0" fillId="9" borderId="8" xfId="0" applyFill="1" applyBorder="1" applyAlignment="1">
      <alignment vertical="center" shrinkToFit="1"/>
    </xf>
    <xf numFmtId="176" fontId="18" fillId="0" borderId="54" xfId="4" applyNumberFormat="1" applyFont="1" applyFill="1" applyBorder="1" applyAlignment="1" applyProtection="1">
      <alignment vertical="center" shrinkToFit="1"/>
    </xf>
    <xf numFmtId="0" fontId="0" fillId="0" borderId="6" xfId="0" applyBorder="1" applyAlignment="1">
      <alignment vertical="center"/>
    </xf>
    <xf numFmtId="0" fontId="17" fillId="0" borderId="38" xfId="0" applyFont="1" applyBorder="1" applyAlignment="1">
      <alignment vertical="center"/>
    </xf>
    <xf numFmtId="0" fontId="0" fillId="0" borderId="38" xfId="0" applyBorder="1" applyAlignment="1">
      <alignment vertical="center"/>
    </xf>
    <xf numFmtId="0" fontId="17" fillId="0" borderId="1" xfId="0" applyFont="1" applyBorder="1" applyAlignment="1">
      <alignment vertical="center"/>
    </xf>
    <xf numFmtId="0" fontId="17" fillId="0" borderId="0" xfId="0" applyFont="1" applyAlignment="1">
      <alignment vertical="center"/>
    </xf>
    <xf numFmtId="176" fontId="19" fillId="5" borderId="52" xfId="4" applyNumberFormat="1" applyFont="1" applyFill="1" applyBorder="1" applyAlignment="1" applyProtection="1">
      <alignment vertical="top"/>
      <protection locked="0"/>
    </xf>
    <xf numFmtId="0" fontId="0" fillId="5" borderId="1" xfId="0" applyFill="1" applyBorder="1" applyProtection="1">
      <protection locked="0"/>
    </xf>
    <xf numFmtId="0" fontId="0" fillId="5" borderId="8" xfId="0" applyFill="1" applyBorder="1" applyProtection="1">
      <protection locked="0"/>
    </xf>
    <xf numFmtId="176" fontId="19" fillId="0" borderId="38" xfId="4" applyNumberFormat="1" applyFont="1" applyFill="1" applyBorder="1" applyAlignment="1" applyProtection="1">
      <alignment vertical="center"/>
    </xf>
    <xf numFmtId="0" fontId="0" fillId="0" borderId="2" xfId="0" applyBorder="1" applyAlignment="1">
      <alignment vertical="center" textRotation="255"/>
    </xf>
    <xf numFmtId="176" fontId="12" fillId="0" borderId="95" xfId="4" applyNumberFormat="1" applyFont="1" applyFill="1" applyBorder="1" applyAlignment="1" applyProtection="1">
      <alignment vertical="center" shrinkToFit="1"/>
    </xf>
    <xf numFmtId="176" fontId="12" fillId="0" borderId="1" xfId="0" applyNumberFormat="1" applyFont="1" applyBorder="1" applyAlignment="1">
      <alignment vertical="center"/>
    </xf>
    <xf numFmtId="178" fontId="12" fillId="8" borderId="52" xfId="4" applyNumberFormat="1" applyFont="1" applyFill="1" applyBorder="1" applyAlignment="1" applyProtection="1">
      <alignment horizontal="center" vertical="center"/>
    </xf>
    <xf numFmtId="178" fontId="12" fillId="8" borderId="8" xfId="4" applyNumberFormat="1" applyFont="1" applyFill="1" applyBorder="1" applyAlignment="1" applyProtection="1">
      <alignment horizontal="center" vertical="center"/>
    </xf>
    <xf numFmtId="177" fontId="12" fillId="9" borderId="23" xfId="4" applyNumberFormat="1" applyFont="1" applyFill="1" applyBorder="1" applyAlignment="1" applyProtection="1">
      <alignment horizontal="center" vertical="center" wrapText="1"/>
    </xf>
    <xf numFmtId="0" fontId="0" fillId="9" borderId="50" xfId="0" applyFill="1" applyBorder="1" applyAlignment="1">
      <alignment horizontal="center" vertical="center"/>
    </xf>
    <xf numFmtId="177" fontId="0" fillId="0" borderId="95" xfId="4" applyNumberFormat="1" applyFont="1" applyFill="1" applyBorder="1" applyAlignment="1" applyProtection="1">
      <alignment horizontal="right" vertical="center" shrinkToFit="1"/>
    </xf>
    <xf numFmtId="0" fontId="12" fillId="0" borderId="8" xfId="0" applyFont="1" applyBorder="1" applyAlignment="1">
      <alignment horizontal="right" vertical="center" shrinkToFit="1"/>
    </xf>
    <xf numFmtId="176" fontId="12" fillId="0" borderId="115" xfId="4" applyNumberFormat="1" applyFont="1" applyFill="1" applyBorder="1" applyAlignment="1" applyProtection="1">
      <alignment vertical="center"/>
    </xf>
    <xf numFmtId="0" fontId="12" fillId="0" borderId="112" xfId="0" applyFont="1" applyBorder="1" applyAlignment="1">
      <alignment vertical="center"/>
    </xf>
    <xf numFmtId="176" fontId="12" fillId="0" borderId="103" xfId="4" applyNumberFormat="1" applyFont="1" applyFill="1" applyBorder="1" applyAlignment="1" applyProtection="1">
      <alignment vertical="center"/>
    </xf>
    <xf numFmtId="0" fontId="12" fillId="0" borderId="19" xfId="0" applyFont="1" applyBorder="1" applyAlignment="1">
      <alignment vertical="center"/>
    </xf>
    <xf numFmtId="176" fontId="0" fillId="0" borderId="11" xfId="4" applyNumberFormat="1" applyFont="1" applyFill="1" applyBorder="1" applyAlignment="1" applyProtection="1">
      <alignment horizontal="left" vertical="center" shrinkToFit="1"/>
    </xf>
    <xf numFmtId="0" fontId="0" fillId="0" borderId="11" xfId="0" applyBorder="1" applyAlignment="1">
      <alignment horizontal="left" vertical="center" shrinkToFit="1"/>
    </xf>
    <xf numFmtId="0" fontId="0" fillId="0" borderId="11" xfId="0" applyBorder="1" applyAlignment="1">
      <alignment vertical="center" textRotation="255"/>
    </xf>
    <xf numFmtId="0" fontId="0" fillId="0" borderId="12" xfId="0" applyBorder="1" applyAlignment="1">
      <alignment vertical="center" textRotation="255"/>
    </xf>
    <xf numFmtId="0" fontId="0" fillId="0" borderId="18" xfId="0" applyBorder="1" applyAlignment="1">
      <alignment vertical="center" textRotation="255"/>
    </xf>
    <xf numFmtId="176" fontId="0" fillId="0" borderId="190" xfId="4" applyNumberFormat="1" applyFont="1" applyFill="1" applyBorder="1" applyAlignment="1" applyProtection="1">
      <alignment vertical="center"/>
    </xf>
    <xf numFmtId="177" fontId="12" fillId="10" borderId="53" xfId="4" applyNumberFormat="1" applyFont="1" applyFill="1" applyBorder="1" applyAlignment="1" applyProtection="1">
      <alignment vertical="center" shrinkToFit="1"/>
    </xf>
    <xf numFmtId="177" fontId="0" fillId="10" borderId="5" xfId="0" applyNumberFormat="1" applyFill="1" applyBorder="1" applyAlignment="1">
      <alignment vertical="center" shrinkToFit="1"/>
    </xf>
    <xf numFmtId="177" fontId="12" fillId="10" borderId="52" xfId="4" applyNumberFormat="1" applyFont="1" applyFill="1" applyBorder="1" applyAlignment="1" applyProtection="1">
      <alignment vertical="center" shrinkToFit="1"/>
    </xf>
    <xf numFmtId="177" fontId="0" fillId="10" borderId="8" xfId="0" applyNumberFormat="1" applyFill="1" applyBorder="1" applyAlignment="1">
      <alignment vertical="center"/>
    </xf>
    <xf numFmtId="186" fontId="12" fillId="11" borderId="54" xfId="4" applyNumberFormat="1" applyFont="1" applyFill="1" applyBorder="1" applyAlignment="1" applyProtection="1">
      <alignment vertical="center" shrinkToFit="1"/>
    </xf>
    <xf numFmtId="186" fontId="0" fillId="11" borderId="6" xfId="0" applyNumberFormat="1" applyFill="1" applyBorder="1" applyAlignment="1">
      <alignment vertical="center"/>
    </xf>
    <xf numFmtId="176" fontId="12" fillId="0" borderId="107" xfId="4" applyNumberFormat="1" applyFont="1" applyFill="1" applyBorder="1" applyAlignment="1" applyProtection="1">
      <alignment vertical="center"/>
    </xf>
    <xf numFmtId="0" fontId="12" fillId="0" borderId="7" xfId="0" applyFont="1" applyBorder="1" applyAlignment="1">
      <alignment vertical="center"/>
    </xf>
    <xf numFmtId="176" fontId="0" fillId="0" borderId="192" xfId="4" applyNumberFormat="1" applyFont="1" applyFill="1" applyBorder="1" applyAlignment="1" applyProtection="1">
      <alignment vertical="center"/>
    </xf>
    <xf numFmtId="176" fontId="20" fillId="0" borderId="18" xfId="4" applyNumberFormat="1" applyFont="1" applyFill="1" applyBorder="1" applyAlignment="1" applyProtection="1">
      <alignment horizontal="left" vertical="center" shrinkToFit="1"/>
    </xf>
    <xf numFmtId="176" fontId="20" fillId="0" borderId="12" xfId="4" applyNumberFormat="1" applyFont="1" applyFill="1" applyBorder="1" applyAlignment="1" applyProtection="1">
      <alignment horizontal="left" vertical="center" shrinkToFit="1"/>
    </xf>
    <xf numFmtId="0" fontId="0" fillId="0" borderId="179" xfId="0" applyBorder="1" applyAlignment="1">
      <alignment vertical="center"/>
    </xf>
    <xf numFmtId="176" fontId="12" fillId="0" borderId="12" xfId="4" applyNumberFormat="1" applyFont="1" applyFill="1" applyBorder="1" applyAlignment="1" applyProtection="1">
      <alignment vertical="center"/>
    </xf>
    <xf numFmtId="176" fontId="12" fillId="0" borderId="2" xfId="4" applyNumberFormat="1" applyFont="1" applyFill="1" applyBorder="1" applyAlignment="1" applyProtection="1">
      <alignment horizontal="center" vertical="center"/>
    </xf>
    <xf numFmtId="177" fontId="12" fillId="8" borderId="52" xfId="4" applyNumberFormat="1" applyFont="1" applyFill="1" applyBorder="1" applyAlignment="1" applyProtection="1">
      <alignment horizontal="center" vertical="center" shrinkToFit="1"/>
    </xf>
    <xf numFmtId="0" fontId="0" fillId="0" borderId="8" xfId="0" applyBorder="1" applyAlignment="1">
      <alignment horizontal="center" vertical="center" shrinkToFit="1"/>
    </xf>
    <xf numFmtId="176" fontId="1" fillId="8" borderId="52" xfId="4" applyNumberFormat="1" applyFont="1" applyFill="1" applyBorder="1" applyAlignment="1" applyProtection="1">
      <alignment horizontal="center" vertical="center"/>
    </xf>
    <xf numFmtId="176" fontId="18" fillId="0" borderId="53" xfId="4" applyNumberFormat="1" applyFont="1" applyFill="1" applyBorder="1" applyAlignment="1" applyProtection="1">
      <alignment vertical="center" shrinkToFit="1"/>
    </xf>
    <xf numFmtId="176" fontId="4" fillId="0" borderId="0" xfId="4" applyNumberFormat="1" applyFont="1" applyFill="1" applyBorder="1" applyAlignment="1" applyProtection="1">
      <alignment vertical="center" shrinkToFit="1"/>
    </xf>
    <xf numFmtId="176" fontId="1" fillId="0" borderId="52" xfId="4" applyNumberFormat="1" applyFill="1" applyBorder="1" applyAlignment="1" applyProtection="1">
      <alignment vertical="center"/>
    </xf>
    <xf numFmtId="176" fontId="18" fillId="0" borderId="5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shrinkToFit="1"/>
    </xf>
    <xf numFmtId="176" fontId="18" fillId="0" borderId="198" xfId="4" applyNumberFormat="1" applyFont="1" applyFill="1" applyBorder="1" applyAlignment="1" applyProtection="1">
      <alignment vertical="center" shrinkToFit="1"/>
    </xf>
    <xf numFmtId="0" fontId="0" fillId="0" borderId="199" xfId="0" applyBorder="1" applyAlignment="1">
      <alignment vertical="center"/>
    </xf>
    <xf numFmtId="176" fontId="18" fillId="0" borderId="55" xfId="4" applyNumberFormat="1" applyFont="1" applyFill="1" applyBorder="1" applyAlignment="1" applyProtection="1">
      <alignment vertical="center" shrinkToFit="1"/>
    </xf>
    <xf numFmtId="176" fontId="18" fillId="0" borderId="54" xfId="4" applyNumberFormat="1" applyFont="1" applyFill="1" applyBorder="1" applyAlignment="1" applyProtection="1">
      <alignment vertical="center"/>
    </xf>
    <xf numFmtId="176" fontId="19" fillId="5" borderId="23" xfId="4" applyNumberFormat="1" applyFont="1" applyFill="1" applyBorder="1" applyAlignment="1" applyProtection="1">
      <alignment vertical="top"/>
      <protection locked="0"/>
    </xf>
    <xf numFmtId="0" fontId="0" fillId="5" borderId="22" xfId="0" applyFill="1" applyBorder="1" applyProtection="1">
      <protection locked="0"/>
    </xf>
    <xf numFmtId="0" fontId="0" fillId="5" borderId="10" xfId="0" applyFill="1" applyBorder="1" applyProtection="1">
      <protection locked="0"/>
    </xf>
    <xf numFmtId="0" fontId="0" fillId="5" borderId="50" xfId="0" applyFill="1" applyBorder="1" applyProtection="1">
      <protection locked="0"/>
    </xf>
    <xf numFmtId="0" fontId="0" fillId="5" borderId="38" xfId="0" applyFill="1" applyBorder="1" applyProtection="1">
      <protection locked="0"/>
    </xf>
    <xf numFmtId="0" fontId="0" fillId="5" borderId="29" xfId="0" applyFill="1" applyBorder="1" applyProtection="1">
      <protection locked="0"/>
    </xf>
    <xf numFmtId="176" fontId="20" fillId="0" borderId="53" xfId="4" applyNumberFormat="1" applyFont="1" applyFill="1" applyBorder="1" applyAlignment="1" applyProtection="1">
      <alignment horizontal="left" vertical="center" shrinkToFit="1"/>
    </xf>
    <xf numFmtId="0" fontId="0" fillId="0" borderId="112" xfId="0" applyBorder="1" applyAlignment="1">
      <alignment horizontal="left" vertical="center" shrinkToFit="1"/>
    </xf>
    <xf numFmtId="0" fontId="0" fillId="0" borderId="5" xfId="0" applyBorder="1" applyAlignment="1">
      <alignment horizontal="left" vertical="center" shrinkToFit="1"/>
    </xf>
    <xf numFmtId="0" fontId="12" fillId="0" borderId="6" xfId="0" applyFont="1" applyBorder="1" applyAlignment="1">
      <alignment vertical="center"/>
    </xf>
    <xf numFmtId="0" fontId="12" fillId="0" borderId="5" xfId="0" applyFont="1" applyBorder="1" applyAlignment="1">
      <alignment vertical="center"/>
    </xf>
    <xf numFmtId="176" fontId="20" fillId="0" borderId="54" xfId="4" applyNumberFormat="1" applyFont="1" applyFill="1" applyBorder="1" applyAlignment="1" applyProtection="1">
      <alignment horizontal="left" vertical="center" shrinkToFit="1"/>
    </xf>
    <xf numFmtId="0" fontId="0" fillId="0" borderId="19" xfId="0" applyBorder="1" applyAlignment="1">
      <alignment horizontal="left" vertical="center" shrinkToFit="1"/>
    </xf>
    <xf numFmtId="0" fontId="0" fillId="0" borderId="6" xfId="0" applyBorder="1" applyAlignment="1">
      <alignment horizontal="left" vertical="center" shrinkToFit="1"/>
    </xf>
    <xf numFmtId="176" fontId="12" fillId="0" borderId="8" xfId="0" applyNumberFormat="1" applyFont="1" applyBorder="1" applyAlignment="1">
      <alignment vertical="center"/>
    </xf>
    <xf numFmtId="177" fontId="12" fillId="8" borderId="194" xfId="4" applyNumberFormat="1" applyFont="1" applyFill="1" applyBorder="1" applyAlignment="1" applyProtection="1">
      <alignment horizontal="center" vertical="center" wrapText="1"/>
    </xf>
    <xf numFmtId="0" fontId="0" fillId="8" borderId="10" xfId="0" applyFill="1" applyBorder="1" applyAlignment="1">
      <alignment horizontal="center" vertical="center"/>
    </xf>
    <xf numFmtId="177" fontId="12" fillId="8" borderId="195" xfId="4" applyNumberFormat="1" applyFont="1" applyFill="1" applyBorder="1" applyAlignment="1" applyProtection="1">
      <alignment horizontal="center" vertical="center" wrapText="1"/>
    </xf>
    <xf numFmtId="0" fontId="0" fillId="8" borderId="27" xfId="0" applyFill="1" applyBorder="1" applyAlignment="1">
      <alignment horizontal="center" vertical="center"/>
    </xf>
    <xf numFmtId="177"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wrapText="1"/>
    </xf>
    <xf numFmtId="176"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xf>
    <xf numFmtId="176" fontId="20" fillId="0" borderId="55" xfId="4" applyNumberFormat="1" applyFont="1" applyFill="1" applyBorder="1" applyAlignment="1" applyProtection="1">
      <alignment horizontal="left" vertical="center" shrinkToFit="1"/>
    </xf>
    <xf numFmtId="0" fontId="0" fillId="0" borderId="20" xfId="0" applyBorder="1" applyAlignment="1">
      <alignment horizontal="left" vertical="center" shrinkToFit="1"/>
    </xf>
    <xf numFmtId="0" fontId="0" fillId="0" borderId="7" xfId="0" applyBorder="1" applyAlignment="1">
      <alignment horizontal="left" vertical="center" shrinkToFit="1"/>
    </xf>
    <xf numFmtId="177" fontId="12" fillId="10" borderId="54" xfId="4" applyNumberFormat="1" applyFont="1" applyFill="1" applyBorder="1" applyAlignment="1" applyProtection="1">
      <alignment vertical="center" shrinkToFit="1"/>
    </xf>
    <xf numFmtId="177" fontId="0" fillId="10" borderId="6" xfId="0" applyNumberFormat="1" applyFill="1" applyBorder="1" applyAlignment="1">
      <alignment vertical="center" shrinkToFit="1"/>
    </xf>
    <xf numFmtId="177" fontId="12" fillId="10" borderId="55" xfId="4" applyNumberFormat="1" applyFont="1" applyFill="1" applyBorder="1" applyAlignment="1" applyProtection="1">
      <alignment vertical="center" shrinkToFit="1"/>
    </xf>
    <xf numFmtId="177" fontId="0" fillId="10" borderId="7" xfId="0" applyNumberFormat="1" applyFill="1" applyBorder="1" applyAlignment="1">
      <alignment vertical="center" shrinkToFit="1"/>
    </xf>
    <xf numFmtId="176" fontId="12" fillId="9" borderId="52" xfId="4" applyNumberFormat="1" applyFont="1" applyFill="1" applyBorder="1" applyAlignment="1" applyProtection="1">
      <alignment vertical="center"/>
    </xf>
    <xf numFmtId="0" fontId="0" fillId="9" borderId="1" xfId="0" applyFill="1" applyBorder="1" applyAlignment="1">
      <alignment vertical="center"/>
    </xf>
    <xf numFmtId="0" fontId="0" fillId="9" borderId="8" xfId="0" applyFill="1" applyBorder="1" applyAlignment="1">
      <alignment vertical="center"/>
    </xf>
    <xf numFmtId="176" fontId="12" fillId="9" borderId="17" xfId="4" applyNumberFormat="1" applyFont="1" applyFill="1" applyBorder="1" applyAlignment="1" applyProtection="1">
      <alignment horizontal="center" vertical="center"/>
    </xf>
    <xf numFmtId="0" fontId="0" fillId="0" borderId="17" xfId="0" applyBorder="1" applyAlignment="1">
      <alignment vertical="center"/>
    </xf>
    <xf numFmtId="176" fontId="12" fillId="0" borderId="53" xfId="4" applyNumberFormat="1" applyFont="1" applyFill="1" applyBorder="1" applyAlignment="1" applyProtection="1">
      <alignment vertical="center"/>
    </xf>
    <xf numFmtId="176" fontId="0" fillId="0" borderId="54" xfId="4" applyNumberFormat="1" applyFont="1" applyFill="1" applyBorder="1" applyAlignment="1" applyProtection="1">
      <alignment vertical="center"/>
    </xf>
    <xf numFmtId="0" fontId="0" fillId="0" borderId="19" xfId="0" applyBorder="1" applyAlignment="1">
      <alignment vertical="center"/>
    </xf>
    <xf numFmtId="176" fontId="0" fillId="0" borderId="58" xfId="4" applyNumberFormat="1" applyFont="1" applyFill="1" applyBorder="1" applyAlignment="1" applyProtection="1">
      <alignment vertical="center"/>
    </xf>
    <xf numFmtId="0" fontId="0" fillId="0" borderId="79" xfId="0" applyBorder="1" applyAlignment="1">
      <alignment vertical="center"/>
    </xf>
    <xf numFmtId="0" fontId="0" fillId="0" borderId="9" xfId="0" applyBorder="1" applyAlignment="1">
      <alignment vertical="center"/>
    </xf>
    <xf numFmtId="186" fontId="12" fillId="10" borderId="54" xfId="4" applyNumberFormat="1" applyFont="1" applyFill="1" applyBorder="1" applyAlignment="1" applyProtection="1">
      <alignment vertical="center" shrinkToFit="1"/>
    </xf>
    <xf numFmtId="186" fontId="0" fillId="10" borderId="6" xfId="0" applyNumberFormat="1" applyFill="1" applyBorder="1" applyAlignment="1">
      <alignment vertical="center"/>
    </xf>
    <xf numFmtId="176" fontId="8" fillId="10" borderId="52" xfId="4" applyNumberFormat="1" applyFont="1" applyFill="1" applyBorder="1" applyAlignment="1" applyProtection="1">
      <alignment horizontal="center" vertical="center" shrinkToFit="1"/>
    </xf>
    <xf numFmtId="177" fontId="0" fillId="10" borderId="53" xfId="0" applyNumberFormat="1" applyFill="1" applyBorder="1" applyAlignment="1">
      <alignment vertical="center"/>
    </xf>
    <xf numFmtId="177" fontId="0" fillId="10" borderId="5" xfId="0" applyNumberFormat="1" applyFill="1" applyBorder="1" applyAlignment="1">
      <alignment vertical="center"/>
    </xf>
    <xf numFmtId="185" fontId="1" fillId="10" borderId="52" xfId="4" applyNumberFormat="1" applyFill="1" applyBorder="1" applyAlignment="1" applyProtection="1">
      <alignment vertical="center" shrinkToFit="1"/>
    </xf>
    <xf numFmtId="185" fontId="1" fillId="10" borderId="8" xfId="4" applyNumberFormat="1" applyFill="1" applyBorder="1" applyAlignment="1" applyProtection="1">
      <alignment vertical="center" shrinkToFit="1"/>
    </xf>
    <xf numFmtId="186" fontId="12" fillId="10" borderId="55" xfId="4" applyNumberFormat="1" applyFont="1" applyFill="1" applyBorder="1" applyAlignment="1" applyProtection="1">
      <alignment vertical="center" shrinkToFit="1"/>
    </xf>
    <xf numFmtId="186" fontId="0" fillId="10" borderId="7" xfId="0" applyNumberFormat="1" applyFill="1" applyBorder="1" applyAlignment="1">
      <alignment vertical="center"/>
    </xf>
    <xf numFmtId="176" fontId="12" fillId="0" borderId="15" xfId="4" applyNumberFormat="1" applyFont="1" applyFill="1" applyBorder="1" applyAlignment="1" applyProtection="1">
      <alignment vertical="center"/>
    </xf>
    <xf numFmtId="0" fontId="0" fillId="0" borderId="15" xfId="0" applyBorder="1" applyAlignment="1">
      <alignment vertical="center"/>
    </xf>
    <xf numFmtId="176" fontId="12" fillId="9" borderId="190" xfId="4" applyNumberFormat="1" applyFont="1" applyFill="1" applyBorder="1" applyAlignment="1" applyProtection="1">
      <alignment vertical="center"/>
    </xf>
    <xf numFmtId="0" fontId="0" fillId="9" borderId="6" xfId="0" applyFill="1" applyBorder="1" applyAlignment="1">
      <alignment vertical="center"/>
    </xf>
    <xf numFmtId="177" fontId="0" fillId="10" borderId="8" xfId="0" applyNumberFormat="1" applyFill="1" applyBorder="1" applyAlignment="1">
      <alignment vertical="center" shrinkToFit="1"/>
    </xf>
    <xf numFmtId="176" fontId="12" fillId="8" borderId="52" xfId="4" applyNumberFormat="1" applyFont="1" applyFill="1" applyBorder="1" applyAlignment="1" applyProtection="1">
      <alignment horizontal="center" vertical="center"/>
    </xf>
    <xf numFmtId="176" fontId="12" fillId="8" borderId="8" xfId="4" applyNumberFormat="1" applyFont="1" applyFill="1" applyBorder="1" applyAlignment="1" applyProtection="1">
      <alignment horizontal="center" vertical="center"/>
    </xf>
    <xf numFmtId="177" fontId="0" fillId="10" borderId="54" xfId="0" applyNumberFormat="1" applyFill="1" applyBorder="1" applyAlignment="1">
      <alignment vertical="center"/>
    </xf>
    <xf numFmtId="177" fontId="0" fillId="10" borderId="6" xfId="0" applyNumberFormat="1" applyFill="1" applyBorder="1" applyAlignment="1">
      <alignment vertical="center"/>
    </xf>
    <xf numFmtId="176" fontId="0" fillId="0" borderId="13" xfId="4" applyNumberFormat="1" applyFont="1" applyFill="1" applyBorder="1" applyAlignment="1" applyProtection="1">
      <alignment vertical="center"/>
    </xf>
    <xf numFmtId="0" fontId="0" fillId="8" borderId="2" xfId="0" applyFill="1" applyBorder="1" applyAlignment="1">
      <alignment vertical="center"/>
    </xf>
    <xf numFmtId="176" fontId="12" fillId="0" borderId="73" xfId="4" applyNumberFormat="1" applyFont="1" applyFill="1" applyBorder="1" applyAlignment="1" applyProtection="1">
      <alignment vertical="center"/>
    </xf>
    <xf numFmtId="176" fontId="1" fillId="0" borderId="12"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0" fontId="12" fillId="8" borderId="2" xfId="0" applyFont="1" applyFill="1" applyBorder="1" applyAlignment="1">
      <alignment vertical="center"/>
    </xf>
    <xf numFmtId="176" fontId="0" fillId="0" borderId="2" xfId="4" applyNumberFormat="1" applyFont="1" applyFill="1" applyBorder="1" applyAlignment="1" applyProtection="1">
      <alignment vertical="center"/>
    </xf>
    <xf numFmtId="176" fontId="12" fillId="0" borderId="11" xfId="4" applyNumberFormat="1" applyFont="1" applyFill="1" applyBorder="1" applyAlignment="1" applyProtection="1">
      <alignment vertical="center"/>
    </xf>
    <xf numFmtId="0" fontId="0" fillId="10" borderId="8" xfId="0" applyFill="1" applyBorder="1" applyAlignment="1">
      <alignment vertical="center"/>
    </xf>
    <xf numFmtId="0" fontId="0" fillId="0" borderId="70" xfId="0" applyBorder="1" applyAlignment="1">
      <alignment vertical="center"/>
    </xf>
    <xf numFmtId="0" fontId="0" fillId="0" borderId="191" xfId="0" applyBorder="1" applyAlignment="1">
      <alignment vertical="center"/>
    </xf>
    <xf numFmtId="0" fontId="0" fillId="0" borderId="72" xfId="0" applyBorder="1" applyAlignment="1">
      <alignment vertical="center"/>
    </xf>
    <xf numFmtId="176" fontId="12" fillId="11" borderId="190" xfId="4" applyNumberFormat="1" applyFont="1" applyFill="1" applyBorder="1" applyAlignment="1" applyProtection="1">
      <alignment vertical="center"/>
    </xf>
    <xf numFmtId="0" fontId="0" fillId="11" borderId="6" xfId="0" applyFill="1" applyBorder="1" applyAlignment="1">
      <alignment vertical="center"/>
    </xf>
    <xf numFmtId="176" fontId="0" fillId="0" borderId="70" xfId="4" applyNumberFormat="1" applyFont="1" applyFill="1" applyBorder="1" applyAlignment="1" applyProtection="1">
      <alignment vertical="center"/>
    </xf>
    <xf numFmtId="176" fontId="0" fillId="0" borderId="19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xf>
    <xf numFmtId="176" fontId="18" fillId="0" borderId="198" xfId="4" applyNumberFormat="1" applyFont="1" applyFill="1" applyBorder="1" applyAlignment="1" applyProtection="1">
      <alignment vertical="center"/>
    </xf>
    <xf numFmtId="176" fontId="12" fillId="0" borderId="18" xfId="4" applyNumberFormat="1" applyFont="1" applyFill="1" applyBorder="1" applyAlignment="1" applyProtection="1">
      <alignment vertical="center"/>
    </xf>
    <xf numFmtId="176" fontId="12" fillId="0" borderId="74" xfId="4" applyNumberFormat="1" applyFont="1" applyFill="1" applyBorder="1" applyAlignment="1" applyProtection="1">
      <alignment horizontal="center" vertical="center"/>
    </xf>
    <xf numFmtId="0" fontId="0" fillId="0" borderId="74" xfId="0" applyBorder="1" applyAlignment="1">
      <alignment vertical="center"/>
    </xf>
    <xf numFmtId="176" fontId="19" fillId="5" borderId="2" xfId="4" applyNumberFormat="1" applyFont="1" applyFill="1" applyBorder="1" applyAlignment="1" applyProtection="1">
      <alignment vertical="top"/>
      <protection locked="0"/>
    </xf>
    <xf numFmtId="0" fontId="0" fillId="5" borderId="2" xfId="0" applyFill="1" applyBorder="1" applyProtection="1">
      <protection locked="0"/>
    </xf>
    <xf numFmtId="176" fontId="1" fillId="0" borderId="55" xfId="4" applyNumberFormat="1" applyFill="1" applyBorder="1" applyAlignment="1" applyProtection="1">
      <alignment vertical="center"/>
    </xf>
    <xf numFmtId="176" fontId="12" fillId="8" borderId="2" xfId="4" applyNumberFormat="1" applyFont="1" applyFill="1" applyBorder="1" applyAlignment="1" applyProtection="1">
      <alignment horizontal="center" vertical="center"/>
    </xf>
    <xf numFmtId="0" fontId="12" fillId="8" borderId="2" xfId="0" applyFont="1" applyFill="1" applyBorder="1" applyAlignment="1">
      <alignment horizontal="center" vertical="center"/>
    </xf>
    <xf numFmtId="178" fontId="12" fillId="8" borderId="2" xfId="4" applyNumberFormat="1" applyFont="1" applyFill="1" applyBorder="1" applyAlignment="1" applyProtection="1">
      <alignment horizontal="center" vertical="center"/>
    </xf>
    <xf numFmtId="177" fontId="0" fillId="10" borderId="55" xfId="0" applyNumberFormat="1" applyFill="1" applyBorder="1" applyAlignment="1">
      <alignment vertical="center"/>
    </xf>
    <xf numFmtId="177" fontId="0" fillId="10" borderId="7" xfId="0" applyNumberFormat="1" applyFill="1" applyBorder="1" applyAlignment="1">
      <alignment vertical="center"/>
    </xf>
    <xf numFmtId="186" fontId="0" fillId="10" borderId="53" xfId="0" applyNumberFormat="1" applyFill="1" applyBorder="1" applyAlignment="1">
      <alignment vertical="center"/>
    </xf>
    <xf numFmtId="186" fontId="0" fillId="10" borderId="5" xfId="0" applyNumberFormat="1" applyFill="1" applyBorder="1" applyAlignment="1">
      <alignment vertical="center"/>
    </xf>
    <xf numFmtId="0" fontId="0" fillId="0" borderId="27" xfId="0" applyBorder="1" applyAlignment="1">
      <alignment vertical="center"/>
    </xf>
    <xf numFmtId="176" fontId="1" fillId="0" borderId="11" xfId="4" applyNumberFormat="1" applyFont="1" applyFill="1" applyBorder="1" applyAlignment="1" applyProtection="1">
      <alignment vertical="center" shrinkToFit="1"/>
    </xf>
    <xf numFmtId="176" fontId="12" fillId="0" borderId="12" xfId="4" applyNumberFormat="1" applyFont="1" applyFill="1" applyBorder="1" applyAlignment="1" applyProtection="1">
      <alignment vertical="center" shrinkToFit="1"/>
    </xf>
    <xf numFmtId="176" fontId="11" fillId="0" borderId="11"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xf>
    <xf numFmtId="176" fontId="0" fillId="0" borderId="74" xfId="4" applyNumberFormat="1" applyFont="1" applyFill="1" applyBorder="1" applyAlignment="1" applyProtection="1">
      <alignment vertical="center"/>
    </xf>
    <xf numFmtId="176" fontId="11" fillId="0" borderId="18" xfId="4" applyNumberFormat="1" applyFont="1" applyFill="1" applyBorder="1" applyAlignment="1" applyProtection="1">
      <alignment vertical="center" shrinkToFit="1"/>
    </xf>
    <xf numFmtId="176" fontId="12" fillId="0" borderId="73" xfId="4" applyNumberFormat="1" applyFont="1" applyFill="1" applyBorder="1" applyAlignment="1" applyProtection="1">
      <alignment vertical="center" shrinkToFit="1"/>
    </xf>
    <xf numFmtId="176" fontId="12" fillId="0" borderId="15"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shrinkToFit="1"/>
    </xf>
    <xf numFmtId="176" fontId="1" fillId="0" borderId="11" xfId="4" applyNumberFormat="1" applyFont="1" applyFill="1" applyBorder="1" applyAlignment="1" applyProtection="1">
      <alignment vertical="center"/>
    </xf>
    <xf numFmtId="176" fontId="0" fillId="0" borderId="17" xfId="4" applyNumberFormat="1" applyFont="1" applyFill="1" applyBorder="1" applyAlignment="1" applyProtection="1">
      <alignment vertical="center"/>
    </xf>
    <xf numFmtId="176" fontId="12" fillId="0" borderId="74" xfId="4" applyNumberFormat="1" applyFont="1" applyFill="1" applyBorder="1" applyAlignment="1" applyProtection="1">
      <alignment vertical="center"/>
    </xf>
    <xf numFmtId="176" fontId="0" fillId="14" borderId="12" xfId="4" applyNumberFormat="1" applyFont="1" applyFill="1" applyBorder="1" applyAlignment="1" applyProtection="1">
      <alignment vertical="center" shrinkToFit="1"/>
    </xf>
    <xf numFmtId="0" fontId="0" fillId="14" borderId="12" xfId="0" applyFill="1" applyBorder="1" applyAlignment="1">
      <alignment vertical="center" shrinkToFit="1"/>
    </xf>
    <xf numFmtId="176" fontId="0" fillId="0" borderId="24" xfId="4" applyNumberFormat="1" applyFont="1" applyFill="1" applyBorder="1" applyAlignment="1" applyProtection="1">
      <alignment vertical="center"/>
    </xf>
    <xf numFmtId="176" fontId="0" fillId="0" borderId="23" xfId="4" applyNumberFormat="1" applyFont="1" applyFill="1" applyBorder="1" applyAlignment="1" applyProtection="1">
      <alignment vertical="center"/>
    </xf>
    <xf numFmtId="0" fontId="0" fillId="0" borderId="22" xfId="0" applyBorder="1" applyAlignment="1">
      <alignment vertical="center"/>
    </xf>
    <xf numFmtId="0" fontId="0" fillId="0" borderId="10" xfId="0" applyBorder="1" applyAlignment="1">
      <alignment vertical="center"/>
    </xf>
    <xf numFmtId="176" fontId="0" fillId="0" borderId="189" xfId="4" applyNumberFormat="1" applyFont="1" applyFill="1" applyBorder="1" applyAlignment="1" applyProtection="1">
      <alignment vertical="center"/>
    </xf>
    <xf numFmtId="0" fontId="0" fillId="0" borderId="4" xfId="0" applyBorder="1" applyAlignment="1">
      <alignment vertical="center" textRotation="255"/>
    </xf>
    <xf numFmtId="0" fontId="0" fillId="10" borderId="6" xfId="0" applyFill="1" applyBorder="1" applyAlignment="1">
      <alignment vertical="center" shrinkToFit="1"/>
    </xf>
    <xf numFmtId="187" fontId="12" fillId="10" borderId="54" xfId="4" applyNumberFormat="1" applyFont="1" applyFill="1" applyBorder="1" applyAlignment="1" applyProtection="1">
      <alignment vertical="center" shrinkToFit="1"/>
    </xf>
    <xf numFmtId="187" fontId="12" fillId="10" borderId="6" xfId="4" applyNumberFormat="1" applyFont="1" applyFill="1" applyBorder="1" applyAlignment="1" applyProtection="1">
      <alignment vertical="center" shrinkToFit="1"/>
    </xf>
    <xf numFmtId="177" fontId="12" fillId="10" borderId="70" xfId="4" applyNumberFormat="1" applyFont="1" applyFill="1" applyBorder="1" applyAlignment="1" applyProtection="1">
      <alignment vertical="center" shrinkToFit="1"/>
    </xf>
    <xf numFmtId="177" fontId="0" fillId="10" borderId="72" xfId="0" applyNumberFormat="1" applyFill="1" applyBorder="1" applyAlignment="1">
      <alignment vertical="center" shrinkToFit="1"/>
    </xf>
    <xf numFmtId="0" fontId="0" fillId="10" borderId="5" xfId="0" applyFill="1" applyBorder="1" applyAlignment="1">
      <alignment vertical="center" shrinkToFit="1"/>
    </xf>
    <xf numFmtId="188" fontId="12" fillId="10" borderId="54" xfId="4" applyNumberFormat="1" applyFont="1" applyFill="1" applyBorder="1" applyAlignment="1" applyProtection="1">
      <alignment vertical="center" shrinkToFit="1"/>
    </xf>
    <xf numFmtId="188" fontId="0" fillId="10" borderId="6" xfId="0" applyNumberFormat="1" applyFill="1" applyBorder="1" applyAlignment="1">
      <alignment vertical="center" shrinkToFit="1"/>
    </xf>
    <xf numFmtId="0" fontId="19" fillId="5" borderId="22" xfId="0" applyFont="1" applyFill="1" applyBorder="1" applyAlignment="1" applyProtection="1">
      <alignment vertical="top"/>
      <protection locked="0"/>
    </xf>
    <xf numFmtId="0" fontId="19" fillId="5" borderId="10" xfId="0" applyFont="1" applyFill="1" applyBorder="1" applyAlignment="1" applyProtection="1">
      <alignment vertical="top"/>
      <protection locked="0"/>
    </xf>
    <xf numFmtId="0" fontId="19" fillId="5" borderId="0" xfId="0" applyFont="1" applyFill="1" applyAlignment="1" applyProtection="1">
      <alignment vertical="top"/>
      <protection locked="0"/>
    </xf>
    <xf numFmtId="0" fontId="19" fillId="5" borderId="27" xfId="0" applyFont="1" applyFill="1" applyBorder="1" applyAlignment="1" applyProtection="1">
      <alignment vertical="top"/>
      <protection locked="0"/>
    </xf>
    <xf numFmtId="0" fontId="19" fillId="5" borderId="24" xfId="0" applyFont="1" applyFill="1" applyBorder="1" applyAlignment="1" applyProtection="1">
      <alignment vertical="top"/>
      <protection locked="0"/>
    </xf>
    <xf numFmtId="0" fontId="19" fillId="5" borderId="38" xfId="0" applyFont="1" applyFill="1" applyBorder="1" applyAlignment="1" applyProtection="1">
      <alignment vertical="top"/>
      <protection locked="0"/>
    </xf>
    <xf numFmtId="0" fontId="19" fillId="5" borderId="29" xfId="0" applyFont="1" applyFill="1" applyBorder="1" applyAlignment="1" applyProtection="1">
      <alignment vertical="top"/>
      <protection locked="0"/>
    </xf>
    <xf numFmtId="187" fontId="0" fillId="10" borderId="6" xfId="0" applyNumberFormat="1" applyFill="1" applyBorder="1" applyAlignment="1">
      <alignment vertical="center" shrinkToFit="1"/>
    </xf>
    <xf numFmtId="189" fontId="12" fillId="10" borderId="54" xfId="4" applyNumberFormat="1" applyFont="1" applyFill="1" applyBorder="1" applyAlignment="1" applyProtection="1">
      <alignment vertical="center" shrinkToFit="1"/>
    </xf>
    <xf numFmtId="189" fontId="0" fillId="10" borderId="6" xfId="0" applyNumberFormat="1" applyFill="1" applyBorder="1" applyAlignment="1">
      <alignment vertical="center" shrinkToFit="1"/>
    </xf>
    <xf numFmtId="190" fontId="12" fillId="10" borderId="54" xfId="4" applyNumberFormat="1" applyFont="1" applyFill="1" applyBorder="1" applyAlignment="1" applyProtection="1">
      <alignment vertical="center" shrinkToFit="1"/>
    </xf>
    <xf numFmtId="190" fontId="0" fillId="10" borderId="6" xfId="0" applyNumberFormat="1" applyFill="1" applyBorder="1" applyAlignment="1">
      <alignment vertical="center" shrinkToFit="1"/>
    </xf>
    <xf numFmtId="187" fontId="12" fillId="10" borderId="55" xfId="4" applyNumberFormat="1" applyFont="1" applyFill="1" applyBorder="1" applyAlignment="1" applyProtection="1">
      <alignment vertical="center" shrinkToFit="1"/>
    </xf>
    <xf numFmtId="187" fontId="0" fillId="10" borderId="7" xfId="0" applyNumberFormat="1" applyFill="1" applyBorder="1" applyAlignment="1">
      <alignment vertical="center" shrinkToFit="1"/>
    </xf>
    <xf numFmtId="177" fontId="12" fillId="10" borderId="11" xfId="4" applyNumberFormat="1" applyFont="1" applyFill="1" applyBorder="1" applyAlignment="1" applyProtection="1">
      <alignment vertical="center" shrinkToFit="1"/>
    </xf>
    <xf numFmtId="177" fontId="0" fillId="10" borderId="11" xfId="0" applyNumberFormat="1" applyFill="1" applyBorder="1" applyAlignment="1">
      <alignment vertical="center" shrinkToFit="1"/>
    </xf>
    <xf numFmtId="187" fontId="12" fillId="10" borderId="18" xfId="4" applyNumberFormat="1" applyFont="1" applyFill="1" applyBorder="1" applyAlignment="1" applyProtection="1">
      <alignment vertical="center" shrinkToFit="1"/>
    </xf>
    <xf numFmtId="187" fontId="0" fillId="10" borderId="18" xfId="0" applyNumberFormat="1" applyFill="1" applyBorder="1" applyAlignment="1">
      <alignment vertical="center" shrinkToFit="1"/>
    </xf>
    <xf numFmtId="187" fontId="12" fillId="10" borderId="11" xfId="4" applyNumberFormat="1" applyFont="1" applyFill="1" applyBorder="1" applyAlignment="1" applyProtection="1">
      <alignment vertical="center" shrinkToFit="1"/>
    </xf>
    <xf numFmtId="187" fontId="0" fillId="10" borderId="11" xfId="0" applyNumberFormat="1" applyFill="1" applyBorder="1" applyAlignment="1">
      <alignment vertical="center" shrinkToFit="1"/>
    </xf>
    <xf numFmtId="177" fontId="12" fillId="10" borderId="12" xfId="4" applyNumberFormat="1" applyFont="1" applyFill="1" applyBorder="1" applyAlignment="1" applyProtection="1">
      <alignment vertical="center" shrinkToFit="1"/>
    </xf>
    <xf numFmtId="177" fontId="0" fillId="10" borderId="12" xfId="0" applyNumberFormat="1" applyFill="1" applyBorder="1" applyAlignment="1">
      <alignment vertical="center" shrinkToFit="1"/>
    </xf>
    <xf numFmtId="187" fontId="12" fillId="10" borderId="12" xfId="4" applyNumberFormat="1" applyFont="1" applyFill="1" applyBorder="1" applyAlignment="1" applyProtection="1">
      <alignment vertical="center" shrinkToFit="1"/>
    </xf>
    <xf numFmtId="187" fontId="0" fillId="10" borderId="12" xfId="0" applyNumberFormat="1" applyFill="1" applyBorder="1" applyAlignment="1">
      <alignment vertical="center" shrinkToFit="1"/>
    </xf>
    <xf numFmtId="0" fontId="0" fillId="5" borderId="52" xfId="0" applyFill="1" applyBorder="1" applyAlignment="1" applyProtection="1">
      <alignment vertical="center" shrinkToFit="1"/>
      <protection locked="0"/>
    </xf>
    <xf numFmtId="0" fontId="0" fillId="5" borderId="1" xfId="0" applyFill="1" applyBorder="1" applyAlignment="1" applyProtection="1">
      <alignment vertical="center" shrinkToFit="1"/>
      <protection locked="0"/>
    </xf>
    <xf numFmtId="0" fontId="0" fillId="5" borderId="8" xfId="0" applyFill="1" applyBorder="1" applyAlignment="1" applyProtection="1">
      <alignment vertical="center" shrinkToFit="1"/>
      <protection locked="0"/>
    </xf>
    <xf numFmtId="0" fontId="19" fillId="5" borderId="8"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0" fillId="10" borderId="4" xfId="0" applyFill="1" applyBorder="1" applyAlignment="1">
      <alignment vertical="center" wrapText="1"/>
    </xf>
    <xf numFmtId="0" fontId="0" fillId="10" borderId="3" xfId="0" applyFill="1" applyBorder="1" applyAlignment="1">
      <alignment vertical="center"/>
    </xf>
    <xf numFmtId="0" fontId="0" fillId="10" borderId="17" xfId="0" applyFill="1" applyBorder="1" applyAlignment="1">
      <alignment vertical="center"/>
    </xf>
    <xf numFmtId="177" fontId="12" fillId="10" borderId="18" xfId="4" applyNumberFormat="1" applyFont="1" applyFill="1" applyBorder="1" applyAlignment="1" applyProtection="1">
      <alignment vertical="center" shrinkToFit="1"/>
    </xf>
    <xf numFmtId="177" fontId="0" fillId="10" borderId="18" xfId="0" applyNumberFormat="1" applyFill="1" applyBorder="1" applyAlignment="1">
      <alignment vertical="center" shrinkToFit="1"/>
    </xf>
    <xf numFmtId="176" fontId="12" fillId="10" borderId="2" xfId="4" applyNumberFormat="1" applyFont="1" applyFill="1" applyBorder="1" applyAlignment="1" applyProtection="1">
      <alignment horizontal="center" vertical="center"/>
    </xf>
    <xf numFmtId="0" fontId="0" fillId="10" borderId="2" xfId="0" applyFill="1" applyBorder="1" applyAlignment="1">
      <alignment horizontal="center" vertical="center"/>
    </xf>
    <xf numFmtId="187" fontId="0" fillId="5" borderId="13" xfId="0" applyNumberFormat="1" applyFill="1" applyBorder="1" applyAlignment="1" applyProtection="1">
      <alignment horizontal="right" vertical="center"/>
      <protection locked="0"/>
    </xf>
    <xf numFmtId="0" fontId="0" fillId="5" borderId="13" xfId="0" applyFill="1" applyBorder="1" applyAlignment="1" applyProtection="1">
      <alignment vertical="center"/>
      <protection locked="0"/>
    </xf>
    <xf numFmtId="192" fontId="0" fillId="5" borderId="12" xfId="0" applyNumberFormat="1" applyFill="1" applyBorder="1" applyAlignment="1" applyProtection="1">
      <alignment horizontal="right" vertical="center"/>
      <protection locked="0"/>
    </xf>
    <xf numFmtId="0" fontId="0" fillId="5" borderId="12" xfId="0" applyFill="1" applyBorder="1" applyAlignment="1" applyProtection="1">
      <alignment vertical="center"/>
      <protection locked="0"/>
    </xf>
    <xf numFmtId="191" fontId="0" fillId="5" borderId="12" xfId="0" applyNumberFormat="1" applyFill="1" applyBorder="1" applyAlignment="1" applyProtection="1">
      <alignment horizontal="right" vertical="center"/>
      <protection locked="0"/>
    </xf>
    <xf numFmtId="187" fontId="0" fillId="5" borderId="18" xfId="0" applyNumberFormat="1" applyFill="1" applyBorder="1" applyAlignment="1" applyProtection="1">
      <alignment horizontal="right" vertical="center"/>
      <protection locked="0"/>
    </xf>
    <xf numFmtId="0" fontId="0" fillId="5" borderId="18" xfId="0" applyFill="1" applyBorder="1" applyAlignment="1" applyProtection="1">
      <alignment vertical="center"/>
      <protection locked="0"/>
    </xf>
    <xf numFmtId="0" fontId="0" fillId="10" borderId="72" xfId="0" applyFill="1" applyBorder="1" applyAlignment="1">
      <alignment vertical="center" shrinkToFit="1"/>
    </xf>
    <xf numFmtId="177" fontId="12" fillId="10" borderId="6" xfId="4" applyNumberFormat="1" applyFont="1" applyFill="1" applyBorder="1" applyAlignment="1" applyProtection="1">
      <alignment vertical="center" shrinkToFit="1"/>
    </xf>
    <xf numFmtId="187" fontId="12" fillId="10" borderId="7" xfId="4" applyNumberFormat="1" applyFont="1" applyFill="1" applyBorder="1" applyAlignment="1" applyProtection="1">
      <alignment vertical="center" shrinkToFit="1"/>
    </xf>
    <xf numFmtId="187" fontId="12" fillId="10" borderId="53" xfId="4" applyNumberFormat="1" applyFont="1" applyFill="1" applyBorder="1" applyAlignment="1" applyProtection="1">
      <alignment vertical="center" shrinkToFit="1"/>
    </xf>
    <xf numFmtId="187" fontId="0" fillId="10" borderId="5" xfId="0" applyNumberFormat="1" applyFill="1" applyBorder="1" applyAlignment="1">
      <alignment vertical="center" shrinkToFit="1"/>
    </xf>
    <xf numFmtId="187" fontId="12" fillId="14" borderId="54" xfId="4" applyNumberFormat="1" applyFont="1" applyFill="1" applyBorder="1" applyAlignment="1" applyProtection="1">
      <alignment vertical="center" shrinkToFit="1"/>
    </xf>
    <xf numFmtId="187" fontId="0" fillId="14" borderId="6" xfId="0" applyNumberFormat="1" applyFill="1" applyBorder="1" applyAlignment="1">
      <alignment vertical="center" shrinkToFit="1"/>
    </xf>
    <xf numFmtId="0" fontId="19" fillId="5" borderId="23" xfId="0" applyFont="1" applyFill="1" applyBorder="1" applyAlignment="1" applyProtection="1">
      <alignment vertical="top"/>
      <protection locked="0"/>
    </xf>
    <xf numFmtId="0" fontId="19" fillId="5" borderId="50" xfId="0" applyFont="1" applyFill="1" applyBorder="1" applyAlignment="1" applyProtection="1">
      <alignment vertical="top"/>
      <protection locked="0"/>
    </xf>
    <xf numFmtId="176" fontId="0" fillId="0" borderId="4" xfId="4" applyNumberFormat="1" applyFont="1" applyFill="1" applyBorder="1" applyAlignment="1" applyProtection="1">
      <alignment vertical="center" textRotation="255" shrinkToFit="1"/>
    </xf>
    <xf numFmtId="176" fontId="0" fillId="0" borderId="3" xfId="4" applyNumberFormat="1" applyFont="1" applyFill="1" applyBorder="1" applyAlignment="1" applyProtection="1">
      <alignment vertical="center" textRotation="255" shrinkToFit="1"/>
    </xf>
    <xf numFmtId="176" fontId="0" fillId="0" borderId="17" xfId="4" applyNumberFormat="1" applyFont="1" applyFill="1" applyBorder="1" applyAlignment="1" applyProtection="1">
      <alignment vertical="center" textRotation="255" shrinkToFit="1"/>
    </xf>
    <xf numFmtId="176" fontId="0" fillId="4" borderId="52" xfId="4" applyNumberFormat="1" applyFont="1" applyFill="1" applyBorder="1" applyAlignment="1" applyProtection="1">
      <alignment horizontal="center" vertical="center" shrinkToFit="1"/>
    </xf>
    <xf numFmtId="176" fontId="0" fillId="4" borderId="8" xfId="4" applyNumberFormat="1" applyFont="1" applyFill="1" applyBorder="1" applyAlignment="1" applyProtection="1">
      <alignment horizontal="center" vertical="center" shrinkToFit="1"/>
    </xf>
    <xf numFmtId="176" fontId="0" fillId="4" borderId="53" xfId="4" applyNumberFormat="1" applyFont="1" applyFill="1" applyBorder="1" applyAlignment="1" applyProtection="1">
      <alignment horizontal="center" vertical="center" shrinkToFit="1"/>
    </xf>
    <xf numFmtId="0" fontId="0" fillId="0" borderId="5" xfId="0" applyBorder="1" applyAlignment="1">
      <alignment horizontal="center" vertical="center" shrinkToFit="1"/>
    </xf>
    <xf numFmtId="176" fontId="8" fillId="0" borderId="0" xfId="4" applyNumberFormat="1" applyFont="1" applyFill="1" applyBorder="1" applyAlignment="1" applyProtection="1">
      <alignment vertical="center"/>
    </xf>
    <xf numFmtId="176" fontId="5" fillId="4" borderId="52" xfId="4" applyNumberFormat="1" applyFont="1" applyFill="1" applyBorder="1" applyAlignment="1" applyProtection="1">
      <alignment horizontal="center" vertical="center" shrinkToFit="1"/>
    </xf>
    <xf numFmtId="176" fontId="5" fillId="4" borderId="8" xfId="4" applyNumberFormat="1" applyFont="1" applyFill="1" applyBorder="1" applyAlignment="1" applyProtection="1">
      <alignment horizontal="center" vertical="center" shrinkToFit="1"/>
    </xf>
    <xf numFmtId="176" fontId="12" fillId="8" borderId="23" xfId="4" applyNumberFormat="1" applyFont="1" applyFill="1" applyBorder="1" applyAlignment="1" applyProtection="1">
      <alignment vertical="center" textRotation="255" shrinkToFit="1"/>
    </xf>
    <xf numFmtId="0" fontId="0" fillId="8" borderId="10" xfId="0" applyFill="1" applyBorder="1" applyAlignment="1">
      <alignment vertical="center" textRotation="255" shrinkToFit="1"/>
    </xf>
    <xf numFmtId="0" fontId="0" fillId="8" borderId="24" xfId="0" applyFill="1" applyBorder="1" applyAlignment="1">
      <alignment vertical="center" textRotation="255" shrinkToFit="1"/>
    </xf>
    <xf numFmtId="0" fontId="0" fillId="8" borderId="27" xfId="0" applyFill="1" applyBorder="1" applyAlignment="1">
      <alignment vertical="center" textRotation="255" shrinkToFit="1"/>
    </xf>
    <xf numFmtId="0" fontId="0" fillId="8" borderId="50" xfId="0" applyFill="1" applyBorder="1" applyAlignment="1">
      <alignment vertical="center" textRotation="255" shrinkToFit="1"/>
    </xf>
    <xf numFmtId="0" fontId="0" fillId="8" borderId="29" xfId="0" applyFill="1" applyBorder="1" applyAlignment="1">
      <alignment vertical="center" textRotation="255" shrinkToFit="1"/>
    </xf>
    <xf numFmtId="176" fontId="8" fillId="0" borderId="26" xfId="4" applyNumberFormat="1" applyFont="1" applyFill="1" applyBorder="1" applyAlignment="1" applyProtection="1">
      <alignment vertical="center"/>
    </xf>
    <xf numFmtId="176" fontId="16" fillId="15" borderId="23" xfId="4" applyNumberFormat="1" applyFont="1" applyFill="1" applyBorder="1" applyAlignment="1" applyProtection="1">
      <alignment vertical="center" textRotation="255"/>
    </xf>
    <xf numFmtId="176" fontId="16" fillId="15" borderId="22" xfId="4" applyNumberFormat="1" applyFont="1" applyFill="1" applyBorder="1" applyAlignment="1" applyProtection="1">
      <alignment vertical="center" textRotation="255"/>
    </xf>
    <xf numFmtId="176" fontId="16" fillId="15" borderId="24" xfId="4" applyNumberFormat="1" applyFont="1" applyFill="1" applyBorder="1" applyAlignment="1" applyProtection="1">
      <alignment vertical="center" textRotation="255"/>
    </xf>
    <xf numFmtId="176" fontId="16" fillId="15" borderId="0" xfId="4" applyNumberFormat="1" applyFont="1" applyFill="1" applyBorder="1" applyAlignment="1" applyProtection="1">
      <alignment vertical="center" textRotation="255"/>
    </xf>
    <xf numFmtId="176" fontId="16" fillId="15" borderId="27" xfId="4" applyNumberFormat="1" applyFont="1" applyFill="1" applyBorder="1" applyAlignment="1" applyProtection="1">
      <alignment vertical="center" textRotation="255"/>
    </xf>
    <xf numFmtId="176" fontId="16" fillId="15" borderId="50" xfId="4" applyNumberFormat="1" applyFont="1" applyFill="1" applyBorder="1" applyAlignment="1" applyProtection="1">
      <alignment vertical="center" textRotation="255"/>
    </xf>
    <xf numFmtId="176" fontId="16" fillId="15" borderId="38" xfId="4" applyNumberFormat="1" applyFont="1" applyFill="1" applyBorder="1" applyAlignment="1" applyProtection="1">
      <alignment vertical="center" textRotation="255"/>
    </xf>
    <xf numFmtId="176" fontId="8" fillId="0" borderId="154" xfId="4" applyNumberFormat="1" applyFont="1" applyFill="1" applyBorder="1" applyAlignment="1" applyProtection="1">
      <alignment vertical="center"/>
    </xf>
    <xf numFmtId="0" fontId="0" fillId="0" borderId="154" xfId="0" applyBorder="1" applyAlignment="1">
      <alignment vertical="center"/>
    </xf>
    <xf numFmtId="176" fontId="12" fillId="8" borderId="4" xfId="4" applyNumberFormat="1" applyFont="1" applyFill="1" applyBorder="1" applyAlignment="1" applyProtection="1">
      <alignment horizontal="center" vertical="center" textRotation="255" shrinkToFit="1"/>
    </xf>
    <xf numFmtId="0" fontId="0" fillId="8" borderId="3" xfId="0" applyFill="1" applyBorder="1" applyAlignment="1">
      <alignment vertical="center" textRotation="255" shrinkToFit="1"/>
    </xf>
    <xf numFmtId="0" fontId="0" fillId="8" borderId="17" xfId="0" applyFill="1" applyBorder="1" applyAlignment="1">
      <alignment vertical="center" textRotation="255" shrinkToFit="1"/>
    </xf>
    <xf numFmtId="176" fontId="8" fillId="0" borderId="54" xfId="4" applyNumberFormat="1" applyFont="1" applyFill="1" applyBorder="1" applyAlignment="1" applyProtection="1">
      <alignment vertical="center"/>
    </xf>
    <xf numFmtId="176" fontId="8" fillId="0" borderId="6" xfId="4" applyNumberFormat="1" applyFont="1" applyFill="1" applyBorder="1" applyAlignment="1" applyProtection="1">
      <alignment vertical="center"/>
    </xf>
    <xf numFmtId="176" fontId="1" fillId="4" borderId="54" xfId="4" applyNumberFormat="1" applyFont="1" applyFill="1" applyBorder="1" applyAlignment="1" applyProtection="1">
      <alignment vertical="center" shrinkToFit="1"/>
    </xf>
    <xf numFmtId="0" fontId="0" fillId="0" borderId="6" xfId="0" applyBorder="1" applyAlignment="1">
      <alignment vertical="center" shrinkToFit="1"/>
    </xf>
    <xf numFmtId="176" fontId="1" fillId="4" borderId="55" xfId="4" applyNumberFormat="1" applyFont="1" applyFill="1" applyBorder="1" applyAlignment="1" applyProtection="1">
      <alignment vertical="center" shrinkToFit="1"/>
    </xf>
    <xf numFmtId="0" fontId="0" fillId="0" borderId="7" xfId="0" applyBorder="1" applyAlignment="1">
      <alignment vertical="center" shrinkToFit="1"/>
    </xf>
    <xf numFmtId="176" fontId="8" fillId="0" borderId="218" xfId="4" applyNumberFormat="1" applyFont="1" applyFill="1" applyBorder="1" applyAlignment="1" applyProtection="1">
      <alignment vertical="center"/>
    </xf>
    <xf numFmtId="176" fontId="8" fillId="0" borderId="219"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12" xfId="4" applyNumberFormat="1" applyFont="1" applyFill="1" applyBorder="1" applyAlignment="1" applyProtection="1">
      <alignment vertical="center"/>
    </xf>
    <xf numFmtId="0" fontId="0" fillId="0" borderId="3" xfId="0" applyBorder="1" applyAlignment="1">
      <alignment vertical="center" textRotation="255" shrinkToFit="1"/>
    </xf>
    <xf numFmtId="0" fontId="0" fillId="0" borderId="17" xfId="0" applyBorder="1" applyAlignment="1">
      <alignment vertical="center" textRotation="255" shrinkToFit="1"/>
    </xf>
    <xf numFmtId="176" fontId="1" fillId="4" borderId="52" xfId="4" applyNumberFormat="1" applyFont="1" applyFill="1" applyBorder="1" applyAlignment="1" applyProtection="1">
      <alignment horizontal="center" vertical="center" shrinkToFit="1"/>
    </xf>
    <xf numFmtId="176" fontId="0" fillId="0" borderId="3" xfId="4" applyNumberFormat="1" applyFont="1" applyFill="1" applyBorder="1" applyAlignment="1" applyProtection="1">
      <alignment horizontal="center" vertical="center" textRotation="255" shrinkToFit="1"/>
    </xf>
    <xf numFmtId="0" fontId="0" fillId="0" borderId="3" xfId="0" applyBorder="1" applyAlignment="1">
      <alignment horizontal="center" vertical="center" textRotation="255" shrinkToFit="1"/>
    </xf>
    <xf numFmtId="176" fontId="5" fillId="4" borderId="23" xfId="4" applyNumberFormat="1" applyFont="1" applyFill="1" applyBorder="1" applyAlignment="1" applyProtection="1">
      <alignment horizontal="center" vertical="center" shrinkToFit="1"/>
    </xf>
    <xf numFmtId="0" fontId="0" fillId="0" borderId="10" xfId="0" applyBorder="1" applyAlignment="1">
      <alignment horizontal="center" vertical="center" shrinkToFit="1"/>
    </xf>
    <xf numFmtId="176" fontId="0" fillId="4" borderId="213" xfId="4" applyNumberFormat="1" applyFont="1" applyFill="1" applyBorder="1" applyAlignment="1" applyProtection="1">
      <alignment horizontal="center" vertical="center" shrinkToFit="1"/>
    </xf>
    <xf numFmtId="176" fontId="0" fillId="4" borderId="214" xfId="4" applyNumberFormat="1" applyFont="1" applyFill="1" applyBorder="1" applyAlignment="1" applyProtection="1">
      <alignment horizontal="center" vertical="center" shrinkToFit="1"/>
    </xf>
    <xf numFmtId="176" fontId="0" fillId="4" borderId="215" xfId="4" applyNumberFormat="1" applyFont="1" applyFill="1" applyBorder="1" applyAlignment="1" applyProtection="1">
      <alignment horizontal="center" vertical="center" shrinkToFit="1"/>
    </xf>
    <xf numFmtId="176" fontId="0" fillId="4" borderId="135" xfId="4" applyNumberFormat="1" applyFont="1" applyFill="1" applyBorder="1" applyAlignment="1" applyProtection="1">
      <alignment horizontal="center" vertical="center" shrinkToFit="1"/>
    </xf>
    <xf numFmtId="176" fontId="0" fillId="4" borderId="138" xfId="4" applyNumberFormat="1" applyFont="1" applyFill="1" applyBorder="1" applyAlignment="1" applyProtection="1">
      <alignment horizontal="center" vertical="center" shrinkToFit="1"/>
    </xf>
    <xf numFmtId="176" fontId="0" fillId="4" borderId="137" xfId="4" applyNumberFormat="1" applyFont="1" applyFill="1" applyBorder="1" applyAlignment="1" applyProtection="1">
      <alignment horizontal="center" vertical="center" shrinkToFit="1"/>
    </xf>
    <xf numFmtId="176" fontId="1" fillId="4" borderId="216" xfId="4" applyNumberFormat="1" applyFont="1" applyFill="1" applyBorder="1" applyAlignment="1" applyProtection="1">
      <alignment horizontal="center" vertical="center" shrinkToFit="1"/>
    </xf>
    <xf numFmtId="176" fontId="1" fillId="4" borderId="66" xfId="4" applyNumberFormat="1" applyFont="1" applyFill="1" applyBorder="1" applyAlignment="1" applyProtection="1">
      <alignment horizontal="center" vertical="center" shrinkToFit="1"/>
    </xf>
    <xf numFmtId="176" fontId="1" fillId="4" borderId="217" xfId="4" applyNumberFormat="1" applyFont="1" applyFill="1" applyBorder="1" applyAlignment="1" applyProtection="1">
      <alignment horizontal="center" vertical="center" shrinkToFit="1"/>
    </xf>
    <xf numFmtId="176" fontId="1" fillId="4" borderId="77" xfId="4" applyNumberFormat="1" applyFont="1" applyFill="1" applyBorder="1" applyAlignment="1" applyProtection="1">
      <alignment horizontal="center" vertical="center" shrinkToFit="1"/>
    </xf>
    <xf numFmtId="176" fontId="1" fillId="4" borderId="150" xfId="4" applyNumberFormat="1" applyFont="1" applyFill="1" applyBorder="1" applyAlignment="1" applyProtection="1">
      <alignment horizontal="center" vertical="center" shrinkToFit="1"/>
    </xf>
    <xf numFmtId="176" fontId="1" fillId="4" borderId="56" xfId="4" applyNumberFormat="1" applyFont="1" applyFill="1" applyBorder="1" applyAlignment="1" applyProtection="1">
      <alignment horizontal="center" vertical="center" shrinkToFit="1"/>
    </xf>
    <xf numFmtId="176" fontId="12" fillId="8" borderId="182" xfId="4" applyNumberFormat="1" applyFont="1" applyFill="1" applyBorder="1" applyAlignment="1" applyProtection="1">
      <alignment vertical="center" textRotation="255" shrinkToFit="1"/>
    </xf>
    <xf numFmtId="176" fontId="12" fillId="8" borderId="3" xfId="4" applyNumberFormat="1" applyFont="1" applyFill="1" applyBorder="1" applyAlignment="1" applyProtection="1">
      <alignment vertical="center" textRotation="255" shrinkToFit="1"/>
    </xf>
    <xf numFmtId="176" fontId="12" fillId="8" borderId="17" xfId="4" applyNumberFormat="1" applyFont="1" applyFill="1" applyBorder="1" applyAlignment="1" applyProtection="1">
      <alignment vertical="center" textRotation="255" shrinkToFit="1"/>
    </xf>
    <xf numFmtId="176" fontId="12" fillId="8" borderId="180" xfId="4" applyNumberFormat="1" applyFont="1" applyFill="1" applyBorder="1" applyAlignment="1" applyProtection="1">
      <alignment vertical="center" textRotation="255" shrinkToFit="1"/>
    </xf>
    <xf numFmtId="176" fontId="12" fillId="8" borderId="181" xfId="4" applyNumberFormat="1" applyFont="1" applyFill="1" applyBorder="1" applyAlignment="1" applyProtection="1">
      <alignment vertical="center" textRotation="255" shrinkToFit="1"/>
    </xf>
    <xf numFmtId="176" fontId="12" fillId="8" borderId="24" xfId="4" applyNumberFormat="1" applyFont="1" applyFill="1" applyBorder="1" applyAlignment="1" applyProtection="1">
      <alignment vertical="center" textRotation="255" shrinkToFit="1"/>
    </xf>
    <xf numFmtId="176" fontId="12" fillId="8" borderId="27" xfId="4" applyNumberFormat="1" applyFont="1" applyFill="1" applyBorder="1" applyAlignment="1" applyProtection="1">
      <alignment vertical="center" textRotation="255" shrinkToFit="1"/>
    </xf>
    <xf numFmtId="176" fontId="12" fillId="8" borderId="50" xfId="4" applyNumberFormat="1" applyFont="1" applyFill="1" applyBorder="1" applyAlignment="1" applyProtection="1">
      <alignment vertical="center" textRotation="255" shrinkToFit="1"/>
    </xf>
    <xf numFmtId="176" fontId="12" fillId="8" borderId="29" xfId="4" applyNumberFormat="1" applyFont="1" applyFill="1" applyBorder="1" applyAlignment="1" applyProtection="1">
      <alignment vertical="center" textRotation="255" shrinkToFit="1"/>
    </xf>
    <xf numFmtId="176" fontId="1" fillId="4" borderId="1" xfId="4" applyNumberFormat="1" applyFont="1" applyFill="1" applyBorder="1" applyAlignment="1" applyProtection="1">
      <alignment horizontal="center" vertical="center" shrinkToFit="1"/>
    </xf>
    <xf numFmtId="176" fontId="1" fillId="4" borderId="8" xfId="4" applyNumberFormat="1" applyFont="1" applyFill="1" applyBorder="1" applyAlignment="1" applyProtection="1">
      <alignment horizontal="center" vertical="center" shrinkToFit="1"/>
    </xf>
    <xf numFmtId="176" fontId="12" fillId="8" borderId="10" xfId="4" applyNumberFormat="1" applyFont="1" applyFill="1" applyBorder="1" applyAlignment="1" applyProtection="1">
      <alignment vertical="center" textRotation="255" shrinkToFit="1"/>
    </xf>
    <xf numFmtId="176" fontId="12" fillId="8" borderId="175" xfId="4" applyNumberFormat="1" applyFont="1" applyFill="1" applyBorder="1" applyAlignment="1" applyProtection="1">
      <alignment vertical="center" textRotation="255" shrinkToFit="1"/>
    </xf>
    <xf numFmtId="176" fontId="0" fillId="0" borderId="17" xfId="4" applyNumberFormat="1" applyFont="1" applyFill="1" applyBorder="1" applyAlignment="1" applyProtection="1">
      <alignment horizontal="center" vertical="center" textRotation="255" shrinkToFit="1"/>
    </xf>
    <xf numFmtId="176" fontId="12" fillId="8" borderId="3" xfId="4" applyNumberFormat="1" applyFont="1" applyFill="1" applyBorder="1" applyAlignment="1" applyProtection="1">
      <alignment horizontal="center" vertical="center" textRotation="255" shrinkToFit="1"/>
    </xf>
    <xf numFmtId="176" fontId="12" fillId="8" borderId="17" xfId="4" applyNumberFormat="1" applyFont="1" applyFill="1" applyBorder="1" applyAlignment="1" applyProtection="1">
      <alignment horizontal="center" vertical="center" textRotation="255" shrinkToFit="1"/>
    </xf>
    <xf numFmtId="176" fontId="0" fillId="4" borderId="5" xfId="4" applyNumberFormat="1" applyFont="1" applyFill="1" applyBorder="1" applyAlignment="1" applyProtection="1">
      <alignment horizontal="center" vertical="center" shrinkToFit="1"/>
    </xf>
    <xf numFmtId="176" fontId="0" fillId="4" borderId="1" xfId="4" applyNumberFormat="1" applyFont="1" applyFill="1" applyBorder="1" applyAlignment="1" applyProtection="1">
      <alignment horizontal="center" vertical="center" shrinkToFit="1"/>
    </xf>
    <xf numFmtId="176" fontId="12" fillId="8" borderId="4" xfId="4" applyNumberFormat="1" applyFont="1" applyFill="1" applyBorder="1" applyAlignment="1" applyProtection="1">
      <alignment vertical="center" textRotation="255" shrinkToFit="1"/>
    </xf>
    <xf numFmtId="176" fontId="1" fillId="0" borderId="94" xfId="4" applyNumberFormat="1" applyFont="1" applyFill="1" applyBorder="1" applyAlignment="1" applyProtection="1">
      <alignment horizontal="center" vertical="center"/>
    </xf>
    <xf numFmtId="176" fontId="1" fillId="0" borderId="212" xfId="4" applyNumberFormat="1" applyFont="1" applyFill="1" applyBorder="1" applyAlignment="1" applyProtection="1">
      <alignment horizontal="center" vertical="center"/>
    </xf>
    <xf numFmtId="176" fontId="0" fillId="0" borderId="94" xfId="4" applyNumberFormat="1" applyFont="1" applyFill="1" applyBorder="1" applyAlignment="1" applyProtection="1">
      <alignment horizontal="center" vertical="center"/>
    </xf>
    <xf numFmtId="176" fontId="16" fillId="8" borderId="2" xfId="4" applyNumberFormat="1" applyFont="1" applyFill="1" applyBorder="1" applyAlignment="1" applyProtection="1">
      <alignment horizontal="center" vertical="center"/>
    </xf>
    <xf numFmtId="0" fontId="16" fillId="8" borderId="2" xfId="0" applyFont="1" applyFill="1" applyBorder="1" applyAlignment="1">
      <alignment horizontal="center" vertical="center"/>
    </xf>
    <xf numFmtId="176" fontId="0" fillId="0"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xf>
    <xf numFmtId="0" fontId="0" fillId="0" borderId="10" xfId="0" applyBorder="1" applyAlignment="1">
      <alignment horizontal="center" vertical="center"/>
    </xf>
    <xf numFmtId="0" fontId="0" fillId="0" borderId="50" xfId="0" applyBorder="1" applyAlignment="1">
      <alignment horizontal="center" vertical="center"/>
    </xf>
    <xf numFmtId="0" fontId="0" fillId="0" borderId="38" xfId="0" applyBorder="1" applyAlignment="1">
      <alignment horizontal="center" vertical="center"/>
    </xf>
    <xf numFmtId="0" fontId="0" fillId="0" borderId="29" xfId="0" applyBorder="1" applyAlignment="1">
      <alignment horizontal="center" vertical="center"/>
    </xf>
    <xf numFmtId="176" fontId="1" fillId="0" borderId="124" xfId="4" applyNumberFormat="1" applyFont="1" applyFill="1" applyBorder="1" applyAlignment="1" applyProtection="1">
      <alignment horizontal="center" vertical="center" wrapText="1"/>
    </xf>
    <xf numFmtId="0" fontId="0" fillId="0" borderId="121" xfId="0" applyBorder="1" applyAlignment="1">
      <alignment horizontal="center" vertical="center"/>
    </xf>
    <xf numFmtId="0" fontId="0" fillId="0" borderId="214" xfId="0" applyBorder="1" applyAlignment="1">
      <alignment horizontal="center" vertical="center" shrinkToFit="1"/>
    </xf>
    <xf numFmtId="0" fontId="0" fillId="0" borderId="215" xfId="0" applyBorder="1" applyAlignment="1">
      <alignment horizontal="center" vertical="center" shrinkToFit="1"/>
    </xf>
    <xf numFmtId="0" fontId="0" fillId="0" borderId="138" xfId="0" applyBorder="1" applyAlignment="1">
      <alignment horizontal="center" vertical="center" shrinkToFit="1"/>
    </xf>
    <xf numFmtId="0" fontId="0" fillId="0" borderId="137" xfId="0" applyBorder="1" applyAlignment="1">
      <alignment horizontal="center" vertical="center" shrinkToFit="1"/>
    </xf>
    <xf numFmtId="0" fontId="0" fillId="0" borderId="1" xfId="0" applyBorder="1" applyAlignment="1">
      <alignment horizontal="center" vertical="center" shrinkToFit="1"/>
    </xf>
    <xf numFmtId="176" fontId="1" fillId="4"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shrinkToFit="1"/>
    </xf>
    <xf numFmtId="0" fontId="0" fillId="0" borderId="150" xfId="0" applyBorder="1" applyAlignment="1">
      <alignment horizontal="center" vertical="center" shrinkToFit="1"/>
    </xf>
    <xf numFmtId="0" fontId="0" fillId="0" borderId="56" xfId="0" applyBorder="1" applyAlignment="1">
      <alignment horizontal="center" vertical="center" shrinkToFit="1"/>
    </xf>
    <xf numFmtId="176" fontId="16" fillId="5" borderId="2" xfId="4" applyNumberFormat="1" applyFont="1" applyFill="1" applyBorder="1" applyAlignment="1" applyProtection="1">
      <alignment vertical="center" textRotation="255"/>
    </xf>
    <xf numFmtId="176" fontId="16" fillId="5" borderId="52" xfId="4" applyNumberFormat="1" applyFont="1" applyFill="1" applyBorder="1" applyAlignment="1" applyProtection="1">
      <alignment vertical="center" textRotation="255"/>
    </xf>
    <xf numFmtId="176" fontId="8" fillId="0" borderId="5" xfId="4" applyNumberFormat="1" applyFont="1" applyFill="1" applyBorder="1" applyAlignment="1" applyProtection="1">
      <alignment vertical="center"/>
    </xf>
    <xf numFmtId="176" fontId="7" fillId="10" borderId="90" xfId="4" applyNumberFormat="1" applyFont="1" applyFill="1" applyBorder="1" applyAlignment="1" applyProtection="1">
      <alignment vertical="center"/>
    </xf>
    <xf numFmtId="0" fontId="6" fillId="10" borderId="90" xfId="0" applyFont="1" applyFill="1" applyBorder="1" applyAlignment="1">
      <alignment vertical="center"/>
    </xf>
    <xf numFmtId="176" fontId="8" fillId="0" borderId="17" xfId="4" applyNumberFormat="1" applyFont="1" applyFill="1" applyBorder="1" applyAlignment="1" applyProtection="1">
      <alignment horizontal="center"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0" fontId="0" fillId="0" borderId="22" xfId="0" applyBorder="1" applyAlignment="1">
      <alignment horizontal="right" vertical="center"/>
    </xf>
    <xf numFmtId="176" fontId="7" fillId="10" borderId="153" xfId="4" applyNumberFormat="1" applyFont="1" applyFill="1" applyBorder="1" applyAlignment="1" applyProtection="1">
      <alignment vertical="center"/>
    </xf>
    <xf numFmtId="176" fontId="16" fillId="14" borderId="23" xfId="4" applyNumberFormat="1" applyFont="1" applyFill="1" applyBorder="1" applyAlignment="1" applyProtection="1">
      <alignment vertical="center" textRotation="255"/>
    </xf>
    <xf numFmtId="0" fontId="0" fillId="0" borderId="22" xfId="0" applyBorder="1" applyAlignment="1">
      <alignment vertical="center" textRotation="255"/>
    </xf>
    <xf numFmtId="0" fontId="0" fillId="0" borderId="10" xfId="0" applyBorder="1" applyAlignment="1">
      <alignment vertical="center" textRotation="255"/>
    </xf>
    <xf numFmtId="0" fontId="0" fillId="0" borderId="50" xfId="0" applyBorder="1" applyAlignment="1">
      <alignment vertical="center" textRotation="255"/>
    </xf>
    <xf numFmtId="0" fontId="0" fillId="0" borderId="38" xfId="0" applyBorder="1" applyAlignment="1">
      <alignment vertical="center" textRotation="255"/>
    </xf>
    <xf numFmtId="176" fontId="8" fillId="0" borderId="72" xfId="4" applyNumberFormat="1" applyFont="1" applyFill="1" applyBorder="1" applyAlignment="1" applyProtection="1">
      <alignment vertical="center"/>
    </xf>
    <xf numFmtId="176" fontId="1" fillId="0" borderId="23" xfId="4" applyNumberFormat="1" applyFont="1" applyFill="1" applyBorder="1" applyAlignment="1" applyProtection="1">
      <alignment horizontal="center" vertical="center" shrinkToFit="1"/>
    </xf>
    <xf numFmtId="0" fontId="0" fillId="0" borderId="17" xfId="0" applyBorder="1" applyAlignment="1">
      <alignment horizontal="center" vertical="center"/>
    </xf>
    <xf numFmtId="176" fontId="7" fillId="9" borderId="78" xfId="4" applyNumberFormat="1" applyFont="1" applyFill="1" applyBorder="1" applyAlignment="1" applyProtection="1">
      <alignment vertical="center"/>
    </xf>
    <xf numFmtId="0" fontId="6" fillId="9" borderId="21" xfId="0" applyFont="1" applyFill="1" applyBorder="1" applyAlignment="1">
      <alignment vertical="center"/>
    </xf>
    <xf numFmtId="176" fontId="7" fillId="10" borderId="16" xfId="4" applyNumberFormat="1" applyFont="1" applyFill="1" applyBorder="1" applyAlignment="1" applyProtection="1">
      <alignment vertical="center"/>
    </xf>
    <xf numFmtId="0" fontId="6" fillId="10" borderId="16" xfId="0" applyFont="1" applyFill="1" applyBorder="1" applyAlignment="1">
      <alignment vertical="center"/>
    </xf>
    <xf numFmtId="176" fontId="7" fillId="10" borderId="65" xfId="4" applyNumberFormat="1" applyFont="1" applyFill="1" applyBorder="1" applyAlignment="1" applyProtection="1">
      <alignment vertical="center"/>
    </xf>
    <xf numFmtId="0" fontId="6" fillId="10" borderId="65" xfId="0" applyFont="1" applyFill="1" applyBorder="1" applyAlignment="1">
      <alignment vertical="center"/>
    </xf>
    <xf numFmtId="176" fontId="8" fillId="0" borderId="13" xfId="4" applyNumberFormat="1" applyFont="1" applyFill="1" applyBorder="1" applyAlignment="1" applyProtection="1">
      <alignment vertical="center"/>
    </xf>
    <xf numFmtId="176" fontId="7" fillId="10" borderId="178" xfId="4" applyNumberFormat="1" applyFont="1" applyFill="1" applyBorder="1" applyAlignment="1" applyProtection="1">
      <alignment vertical="center"/>
    </xf>
    <xf numFmtId="176" fontId="7" fillId="10" borderId="165" xfId="4" applyNumberFormat="1" applyFont="1" applyFill="1" applyBorder="1" applyAlignment="1" applyProtection="1">
      <alignment vertical="center"/>
    </xf>
    <xf numFmtId="176" fontId="0" fillId="4" borderId="23" xfId="4" applyNumberFormat="1" applyFont="1" applyFill="1" applyBorder="1" applyAlignment="1" applyProtection="1">
      <alignment horizontal="center" vertical="center" shrinkToFit="1"/>
    </xf>
    <xf numFmtId="176" fontId="8" fillId="0" borderId="53" xfId="4" applyNumberFormat="1" applyFont="1" applyFill="1" applyBorder="1" applyAlignment="1" applyProtection="1">
      <alignment vertical="center"/>
    </xf>
    <xf numFmtId="0" fontId="23" fillId="5" borderId="207" xfId="0" applyFont="1" applyFill="1" applyBorder="1" applyAlignment="1" applyProtection="1">
      <alignment vertical="top" wrapText="1"/>
      <protection locked="0"/>
    </xf>
    <xf numFmtId="0" fontId="23" fillId="5" borderId="151" xfId="0" applyFont="1" applyFill="1" applyBorder="1" applyAlignment="1" applyProtection="1">
      <alignment vertical="top" wrapText="1"/>
      <protection locked="0"/>
    </xf>
    <xf numFmtId="0" fontId="23" fillId="5" borderId="208" xfId="0" applyFont="1" applyFill="1" applyBorder="1" applyAlignment="1" applyProtection="1">
      <alignment vertical="top" wrapText="1"/>
      <protection locked="0"/>
    </xf>
    <xf numFmtId="0" fontId="23" fillId="5" borderId="35" xfId="0" applyFont="1" applyFill="1" applyBorder="1" applyAlignment="1" applyProtection="1">
      <alignment vertical="top" wrapText="1"/>
      <protection locked="0"/>
    </xf>
    <xf numFmtId="0" fontId="23" fillId="5" borderId="0" xfId="0" applyFont="1" applyFill="1" applyAlignment="1" applyProtection="1">
      <alignment vertical="top" wrapText="1"/>
      <protection locked="0"/>
    </xf>
    <xf numFmtId="0" fontId="23" fillId="5" borderId="209" xfId="0" applyFont="1" applyFill="1" applyBorder="1" applyAlignment="1" applyProtection="1">
      <alignment vertical="top" wrapText="1"/>
      <protection locked="0"/>
    </xf>
    <xf numFmtId="0" fontId="23" fillId="5" borderId="210" xfId="0" applyFont="1" applyFill="1" applyBorder="1" applyAlignment="1" applyProtection="1">
      <alignment vertical="top" wrapText="1"/>
      <protection locked="0"/>
    </xf>
    <xf numFmtId="0" fontId="23" fillId="5" borderId="69" xfId="0" applyFont="1" applyFill="1" applyBorder="1" applyAlignment="1" applyProtection="1">
      <alignment vertical="top" wrapText="1"/>
      <protection locked="0"/>
    </xf>
    <xf numFmtId="0" fontId="23" fillId="5" borderId="211" xfId="0" applyFont="1" applyFill="1" applyBorder="1" applyAlignment="1" applyProtection="1">
      <alignment vertical="top" wrapText="1"/>
      <protection locked="0"/>
    </xf>
    <xf numFmtId="58" fontId="8" fillId="0" borderId="0" xfId="4" applyNumberFormat="1" applyFont="1" applyFill="1" applyBorder="1" applyAlignment="1" applyProtection="1">
      <alignment vertical="center"/>
    </xf>
    <xf numFmtId="0" fontId="8" fillId="0" borderId="0" xfId="0" applyFont="1" applyAlignment="1">
      <alignment vertical="center"/>
    </xf>
    <xf numFmtId="176" fontId="14" fillId="5" borderId="95" xfId="4" applyNumberFormat="1" applyFont="1" applyFill="1" applyBorder="1" applyAlignment="1" applyProtection="1">
      <alignment horizontal="center" vertical="center"/>
    </xf>
    <xf numFmtId="0" fontId="0" fillId="0" borderId="206" xfId="0" applyBorder="1" applyAlignment="1">
      <alignment horizontal="center" vertical="center"/>
    </xf>
    <xf numFmtId="176" fontId="14" fillId="2" borderId="97" xfId="4" applyNumberFormat="1" applyFont="1" applyFill="1" applyBorder="1" applyAlignment="1" applyProtection="1">
      <alignment horizontal="center" vertical="center"/>
    </xf>
    <xf numFmtId="176" fontId="14" fillId="3" borderId="97" xfId="4" applyNumberFormat="1" applyFont="1" applyFill="1" applyBorder="1" applyAlignment="1" applyProtection="1">
      <alignment horizontal="center" vertical="center"/>
    </xf>
    <xf numFmtId="0" fontId="0" fillId="0" borderId="8" xfId="0" applyBorder="1" applyAlignment="1">
      <alignment horizontal="center" vertical="center"/>
    </xf>
    <xf numFmtId="176" fontId="7" fillId="10" borderId="139" xfId="4" applyNumberFormat="1" applyFont="1" applyFill="1" applyBorder="1" applyAlignment="1" applyProtection="1">
      <alignment vertical="center"/>
    </xf>
    <xf numFmtId="176" fontId="7" fillId="10" borderId="137" xfId="4" applyNumberFormat="1" applyFont="1" applyFill="1" applyBorder="1" applyAlignment="1" applyProtection="1">
      <alignment vertical="center"/>
    </xf>
    <xf numFmtId="176" fontId="30" fillId="16" borderId="230" xfId="4" applyNumberFormat="1" applyFont="1" applyFill="1" applyBorder="1" applyAlignment="1">
      <alignment horizontal="center" vertical="center"/>
    </xf>
    <xf numFmtId="0" fontId="30" fillId="16" borderId="231" xfId="0" applyFont="1" applyFill="1" applyBorder="1" applyAlignment="1">
      <alignment horizontal="center" vertical="center"/>
    </xf>
    <xf numFmtId="176" fontId="30" fillId="16" borderId="231" xfId="4" applyNumberFormat="1" applyFont="1" applyFill="1" applyBorder="1" applyAlignment="1">
      <alignment horizontal="center" vertical="center"/>
    </xf>
    <xf numFmtId="0" fontId="30" fillId="16" borderId="232" xfId="0" applyFont="1" applyFill="1" applyBorder="1" applyAlignment="1">
      <alignment horizontal="center" vertical="center"/>
    </xf>
    <xf numFmtId="176" fontId="12" fillId="0" borderId="155" xfId="4" applyNumberFormat="1" applyFont="1" applyFill="1" applyBorder="1" applyAlignment="1">
      <alignment horizontal="left" vertical="center"/>
    </xf>
    <xf numFmtId="0" fontId="0" fillId="0" borderId="40" xfId="0" applyBorder="1" applyAlignment="1">
      <alignment horizontal="left" vertical="center"/>
    </xf>
    <xf numFmtId="176" fontId="25" fillId="0" borderId="38" xfId="4" applyNumberFormat="1" applyFont="1" applyFill="1" applyBorder="1" applyAlignment="1">
      <alignment horizontal="right" vertical="center"/>
    </xf>
    <xf numFmtId="0" fontId="25" fillId="0" borderId="29" xfId="0" applyFont="1" applyBorder="1" applyAlignment="1">
      <alignment horizontal="right" vertical="center"/>
    </xf>
    <xf numFmtId="176" fontId="14" fillId="0" borderId="150" xfId="4" applyNumberFormat="1" applyFont="1" applyFill="1" applyBorder="1" applyAlignment="1">
      <alignment horizontal="right" vertical="center"/>
    </xf>
    <xf numFmtId="0" fontId="0" fillId="0" borderId="56" xfId="0" applyBorder="1" applyAlignment="1">
      <alignment horizontal="right" vertical="center"/>
    </xf>
    <xf numFmtId="176" fontId="24" fillId="0" borderId="1" xfId="4" applyNumberFormat="1" applyFont="1" applyFill="1" applyBorder="1" applyAlignment="1">
      <alignment horizontal="right" vertical="center"/>
    </xf>
    <xf numFmtId="0" fontId="24" fillId="0" borderId="8" xfId="0" applyFont="1" applyBorder="1" applyAlignment="1">
      <alignment horizontal="right" vertical="center"/>
    </xf>
    <xf numFmtId="176" fontId="24" fillId="0" borderId="97" xfId="4" applyNumberFormat="1" applyFont="1" applyFill="1" applyBorder="1" applyAlignment="1">
      <alignment horizontal="right" vertical="center"/>
    </xf>
    <xf numFmtId="176" fontId="14" fillId="0" borderId="77" xfId="4" applyNumberFormat="1" applyFont="1" applyFill="1" applyBorder="1" applyAlignment="1">
      <alignment horizontal="right" vertical="center"/>
    </xf>
    <xf numFmtId="0" fontId="14" fillId="0" borderId="56" xfId="0" applyFont="1" applyBorder="1" applyAlignment="1">
      <alignment horizontal="right" vertical="center"/>
    </xf>
    <xf numFmtId="176" fontId="12" fillId="9" borderId="77" xfId="4" applyNumberFormat="1" applyFont="1" applyFill="1" applyBorder="1" applyAlignment="1">
      <alignment horizontal="center" vertical="center"/>
    </xf>
    <xf numFmtId="176" fontId="24" fillId="0" borderId="33" xfId="4" applyNumberFormat="1" applyFont="1" applyFill="1" applyBorder="1" applyAlignment="1">
      <alignment horizontal="right" vertical="center"/>
    </xf>
    <xf numFmtId="0" fontId="24" fillId="0" borderId="10" xfId="0" applyFont="1" applyBorder="1" applyAlignment="1">
      <alignment horizontal="right" vertical="center"/>
    </xf>
    <xf numFmtId="176" fontId="14" fillId="9" borderId="77" xfId="4" applyNumberFormat="1" applyFont="1" applyFill="1" applyBorder="1" applyAlignment="1">
      <alignment horizontal="right" vertical="center"/>
    </xf>
    <xf numFmtId="0" fontId="14" fillId="9" borderId="56" xfId="0" applyFont="1" applyFill="1" applyBorder="1" applyAlignment="1">
      <alignment horizontal="right" vertical="center"/>
    </xf>
    <xf numFmtId="176" fontId="12" fillId="0" borderId="41" xfId="4" applyNumberFormat="1" applyFont="1" applyFill="1" applyBorder="1" applyAlignment="1">
      <alignment horizontal="left" vertical="center"/>
    </xf>
    <xf numFmtId="176" fontId="25" fillId="0" borderId="34" xfId="4" applyNumberFormat="1" applyFont="1" applyFill="1" applyBorder="1" applyAlignment="1">
      <alignment horizontal="right" vertical="center"/>
    </xf>
    <xf numFmtId="176" fontId="14" fillId="0" borderId="220" xfId="4" applyNumberFormat="1" applyFont="1" applyFill="1" applyBorder="1" applyAlignment="1">
      <alignment vertical="center" textRotation="255"/>
    </xf>
    <xf numFmtId="0" fontId="0" fillId="0" borderId="85" xfId="0" applyBorder="1" applyAlignment="1">
      <alignment vertical="center"/>
    </xf>
    <xf numFmtId="0" fontId="0" fillId="0" borderId="221" xfId="0" applyBorder="1" applyAlignment="1">
      <alignment vertical="center"/>
    </xf>
    <xf numFmtId="176" fontId="24" fillId="0" borderId="22" xfId="4" applyNumberFormat="1" applyFont="1" applyFill="1" applyBorder="1" applyAlignment="1">
      <alignment horizontal="right" vertical="center"/>
    </xf>
    <xf numFmtId="176" fontId="14" fillId="9" borderId="150" xfId="4" applyNumberFormat="1" applyFont="1" applyFill="1" applyBorder="1" applyAlignment="1">
      <alignment horizontal="right" vertical="center"/>
    </xf>
    <xf numFmtId="176" fontId="19" fillId="5" borderId="23" xfId="4" applyNumberFormat="1" applyFont="1" applyFill="1" applyBorder="1" applyAlignment="1" applyProtection="1">
      <alignment vertical="top" wrapText="1"/>
      <protection locked="0"/>
    </xf>
    <xf numFmtId="176" fontId="19" fillId="5" borderId="22" xfId="4" applyNumberFormat="1" applyFont="1" applyFill="1" applyBorder="1" applyAlignment="1" applyProtection="1">
      <alignment vertical="top"/>
      <protection locked="0"/>
    </xf>
    <xf numFmtId="176" fontId="19" fillId="5" borderId="10" xfId="4" applyNumberFormat="1" applyFont="1" applyFill="1" applyBorder="1" applyAlignment="1" applyProtection="1">
      <alignment vertical="top"/>
      <protection locked="0"/>
    </xf>
    <xf numFmtId="176" fontId="19" fillId="5" borderId="24" xfId="4" applyNumberFormat="1" applyFont="1" applyFill="1" applyBorder="1" applyAlignment="1" applyProtection="1">
      <alignment vertical="top"/>
      <protection locked="0"/>
    </xf>
    <xf numFmtId="176" fontId="19" fillId="5" borderId="0" xfId="4" applyNumberFormat="1" applyFont="1" applyFill="1" applyBorder="1" applyAlignment="1" applyProtection="1">
      <alignment vertical="top"/>
      <protection locked="0"/>
    </xf>
    <xf numFmtId="176" fontId="19" fillId="5" borderId="27" xfId="4" applyNumberFormat="1" applyFont="1" applyFill="1" applyBorder="1" applyAlignment="1" applyProtection="1">
      <alignment vertical="top"/>
      <protection locked="0"/>
    </xf>
    <xf numFmtId="176" fontId="19" fillId="5" borderId="50" xfId="4" applyNumberFormat="1" applyFont="1" applyFill="1" applyBorder="1" applyAlignment="1" applyProtection="1">
      <alignment vertical="top"/>
      <protection locked="0"/>
    </xf>
    <xf numFmtId="176" fontId="19" fillId="5" borderId="38" xfId="4" applyNumberFormat="1" applyFont="1" applyFill="1" applyBorder="1" applyAlignment="1" applyProtection="1">
      <alignment vertical="top"/>
      <protection locked="0"/>
    </xf>
    <xf numFmtId="176" fontId="19" fillId="5" borderId="29" xfId="4" applyNumberFormat="1" applyFont="1" applyFill="1" applyBorder="1" applyAlignment="1" applyProtection="1">
      <alignment vertical="top"/>
      <protection locked="0"/>
    </xf>
    <xf numFmtId="176" fontId="17" fillId="0" borderId="222" xfId="4" applyNumberFormat="1" applyFont="1" applyFill="1" applyBorder="1" applyAlignment="1">
      <alignment vertical="center" textRotation="255"/>
    </xf>
    <xf numFmtId="0" fontId="17" fillId="0" borderId="223" xfId="0" applyFont="1" applyBorder="1" applyAlignment="1">
      <alignment vertical="center" textRotation="255"/>
    </xf>
    <xf numFmtId="0" fontId="17" fillId="0" borderId="224" xfId="0" applyFont="1" applyBorder="1" applyAlignment="1">
      <alignment vertical="center" textRotation="255"/>
    </xf>
    <xf numFmtId="0" fontId="0" fillId="9" borderId="150" xfId="0" applyFill="1" applyBorder="1" applyAlignment="1">
      <alignment horizontal="center" vertical="center"/>
    </xf>
    <xf numFmtId="0" fontId="0" fillId="9" borderId="56" xfId="0" applyFill="1" applyBorder="1" applyAlignment="1">
      <alignment horizontal="center" vertical="center"/>
    </xf>
    <xf numFmtId="0" fontId="8" fillId="0" borderId="18" xfId="0" applyFont="1" applyBorder="1" applyAlignment="1">
      <alignment horizontal="left" vertical="center" shrinkToFit="1"/>
    </xf>
    <xf numFmtId="0" fontId="8" fillId="0" borderId="18" xfId="0" applyFont="1" applyBorder="1" applyAlignment="1">
      <alignment vertical="center" shrinkToFit="1"/>
    </xf>
    <xf numFmtId="176" fontId="8" fillId="0" borderId="2" xfId="4" applyNumberFormat="1" applyFont="1" applyFill="1" applyBorder="1" applyAlignment="1" applyProtection="1">
      <alignment vertical="center" shrinkToFit="1"/>
    </xf>
    <xf numFmtId="0" fontId="8" fillId="0" borderId="2" xfId="0" applyFont="1" applyBorder="1" applyAlignment="1">
      <alignment vertical="center" shrinkToFit="1"/>
    </xf>
    <xf numFmtId="0" fontId="8" fillId="0" borderId="0" xfId="0" applyFont="1" applyAlignment="1">
      <alignment horizontal="left" vertical="center" shrinkToFit="1"/>
    </xf>
    <xf numFmtId="0" fontId="8" fillId="0" borderId="0" xfId="0" applyFont="1" applyAlignment="1">
      <alignment vertical="center" shrinkToFit="1"/>
    </xf>
    <xf numFmtId="0" fontId="8" fillId="0" borderId="11" xfId="0" applyFont="1" applyBorder="1" applyAlignment="1">
      <alignment horizontal="left" vertical="center" shrinkToFit="1"/>
    </xf>
    <xf numFmtId="0" fontId="8" fillId="0" borderId="11" xfId="0" applyFont="1" applyBorder="1" applyAlignment="1">
      <alignment vertical="center" shrinkToFit="1"/>
    </xf>
    <xf numFmtId="0" fontId="8" fillId="0" borderId="2" xfId="0" applyFont="1" applyBorder="1" applyAlignment="1">
      <alignment horizontal="left" vertical="center" shrinkToFit="1"/>
    </xf>
    <xf numFmtId="0" fontId="8" fillId="0" borderId="13" xfId="0" applyFont="1" applyBorder="1" applyAlignment="1">
      <alignment horizontal="left" vertical="center" shrinkToFit="1"/>
    </xf>
    <xf numFmtId="0" fontId="8" fillId="0" borderId="13" xfId="0" applyFont="1" applyBorder="1" applyAlignment="1">
      <alignment vertical="center" shrinkToFit="1"/>
    </xf>
    <xf numFmtId="0" fontId="8" fillId="0" borderId="12" xfId="0" applyFont="1" applyBorder="1" applyAlignment="1">
      <alignment horizontal="left" vertical="center" shrinkToFit="1"/>
    </xf>
    <xf numFmtId="0" fontId="8" fillId="0" borderId="12" xfId="0" applyFont="1" applyBorder="1" applyAlignment="1">
      <alignment vertical="center" shrinkToFit="1"/>
    </xf>
    <xf numFmtId="176" fontId="10" fillId="0" borderId="52" xfId="4" applyNumberFormat="1" applyFont="1" applyFill="1" applyBorder="1" applyAlignment="1" applyProtection="1">
      <alignment horizontal="center" vertical="center"/>
    </xf>
    <xf numFmtId="0" fontId="10" fillId="0" borderId="1" xfId="0" applyFont="1" applyBorder="1" applyAlignment="1">
      <alignment horizontal="center" vertical="center"/>
    </xf>
    <xf numFmtId="0" fontId="10" fillId="0" borderId="8" xfId="0" applyFont="1" applyBorder="1" applyAlignment="1">
      <alignment horizontal="center" vertical="center"/>
    </xf>
    <xf numFmtId="176" fontId="10" fillId="0" borderId="203" xfId="4" applyNumberFormat="1" applyFont="1" applyFill="1" applyBorder="1" applyAlignment="1" applyProtection="1">
      <alignment horizontal="center" vertical="center"/>
    </xf>
    <xf numFmtId="0" fontId="10" fillId="0" borderId="204" xfId="0" applyFont="1" applyBorder="1" applyAlignment="1">
      <alignment horizontal="center" vertical="center"/>
    </xf>
    <xf numFmtId="0" fontId="10" fillId="0" borderId="205" xfId="0" applyFont="1" applyBorder="1" applyAlignment="1">
      <alignment horizontal="center" vertical="center"/>
    </xf>
    <xf numFmtId="176" fontId="10" fillId="0" borderId="50" xfId="4" applyNumberFormat="1" applyFont="1" applyFill="1" applyBorder="1" applyAlignment="1" applyProtection="1">
      <alignment horizontal="center" vertical="center"/>
    </xf>
    <xf numFmtId="0" fontId="10" fillId="0" borderId="38" xfId="0" applyFont="1" applyBorder="1" applyAlignment="1">
      <alignment horizontal="center" vertical="center"/>
    </xf>
    <xf numFmtId="0" fontId="10" fillId="0" borderId="29" xfId="0" applyFont="1" applyBorder="1" applyAlignment="1">
      <alignment horizontal="center" vertical="center"/>
    </xf>
    <xf numFmtId="176" fontId="8" fillId="0" borderId="52" xfId="4" applyNumberFormat="1" applyFont="1" applyFill="1" applyBorder="1" applyAlignment="1" applyProtection="1">
      <alignment horizontal="center" vertical="center" wrapText="1" shrinkToFit="1"/>
    </xf>
    <xf numFmtId="0" fontId="8" fillId="0" borderId="1" xfId="0" applyFont="1" applyBorder="1" applyAlignment="1">
      <alignment horizontal="center" vertical="center" shrinkToFit="1"/>
    </xf>
    <xf numFmtId="0" fontId="8" fillId="0" borderId="8" xfId="0" applyFont="1" applyBorder="1" applyAlignment="1">
      <alignment horizontal="center" vertical="center" shrinkToFit="1"/>
    </xf>
    <xf numFmtId="176" fontId="10" fillId="0" borderId="0" xfId="4" applyNumberFormat="1" applyFont="1" applyFill="1" applyBorder="1" applyAlignment="1" applyProtection="1">
      <alignment horizontal="left" vertical="center"/>
    </xf>
    <xf numFmtId="0" fontId="0" fillId="0" borderId="0" xfId="0" applyAlignment="1">
      <alignment horizontal="left" vertical="center"/>
    </xf>
    <xf numFmtId="0" fontId="8" fillId="0" borderId="4" xfId="0" applyFont="1" applyBorder="1" applyAlignment="1">
      <alignment horizontal="left" vertical="center"/>
    </xf>
    <xf numFmtId="176" fontId="10" fillId="0" borderId="77" xfId="4" applyNumberFormat="1" applyFont="1" applyFill="1" applyBorder="1" applyAlignment="1" applyProtection="1">
      <alignment horizontal="center" vertical="center"/>
    </xf>
    <xf numFmtId="0" fontId="10" fillId="0" borderId="150" xfId="0" applyFont="1" applyBorder="1" applyAlignment="1">
      <alignment horizontal="center" vertical="center"/>
    </xf>
    <xf numFmtId="0" fontId="10" fillId="0" borderId="56" xfId="0" applyFont="1" applyBorder="1" applyAlignment="1">
      <alignment horizontal="center" vertical="center"/>
    </xf>
    <xf numFmtId="176" fontId="37" fillId="16" borderId="24" xfId="4" applyNumberFormat="1" applyFont="1" applyFill="1" applyBorder="1" applyAlignment="1" applyProtection="1">
      <alignment horizontal="left" vertical="center"/>
    </xf>
    <xf numFmtId="0" fontId="37" fillId="16" borderId="38" xfId="0" applyFont="1" applyFill="1" applyBorder="1" applyAlignment="1">
      <alignment horizontal="left" vertical="center"/>
    </xf>
    <xf numFmtId="0" fontId="37" fillId="16" borderId="27" xfId="0" applyFont="1" applyFill="1" applyBorder="1" applyAlignment="1">
      <alignment horizontal="left" vertical="center"/>
    </xf>
    <xf numFmtId="0" fontId="8" fillId="0" borderId="53" xfId="0" applyFont="1" applyBorder="1" applyAlignment="1">
      <alignment horizontal="left" vertical="center"/>
    </xf>
    <xf numFmtId="0" fontId="8" fillId="0" borderId="54" xfId="0" applyFont="1" applyBorder="1" applyAlignment="1">
      <alignment horizontal="left" vertical="center"/>
    </xf>
    <xf numFmtId="0" fontId="8" fillId="0" borderId="55" xfId="0" applyFont="1" applyBorder="1" applyAlignment="1">
      <alignment horizontal="left" vertical="center"/>
    </xf>
    <xf numFmtId="0" fontId="8" fillId="0" borderId="4" xfId="0" applyFont="1" applyBorder="1" applyAlignment="1">
      <alignment vertical="center" textRotation="255" shrinkToFit="1"/>
    </xf>
    <xf numFmtId="0" fontId="8" fillId="0" borderId="17" xfId="0" applyFont="1" applyBorder="1" applyAlignment="1">
      <alignment vertical="center" textRotation="255" shrinkToFit="1"/>
    </xf>
    <xf numFmtId="0" fontId="8" fillId="0" borderId="5" xfId="0" applyFont="1" applyBorder="1" applyAlignment="1">
      <alignment horizontal="left" vertical="center"/>
    </xf>
    <xf numFmtId="0" fontId="8" fillId="0" borderId="7" xfId="0" applyFont="1" applyBorder="1" applyAlignment="1">
      <alignment horizontal="left" vertical="center"/>
    </xf>
    <xf numFmtId="176" fontId="1" fillId="8" borderId="23" xfId="4" applyNumberFormat="1" applyFont="1" applyFill="1" applyBorder="1" applyAlignment="1" applyProtection="1">
      <alignment horizontal="center" vertical="center"/>
    </xf>
    <xf numFmtId="176" fontId="37" fillId="16" borderId="250" xfId="4" applyNumberFormat="1" applyFont="1" applyFill="1" applyBorder="1" applyAlignment="1" applyProtection="1">
      <alignment horizontal="left" vertical="center"/>
    </xf>
    <xf numFmtId="0" fontId="37" fillId="16" borderId="251" xfId="0" applyFont="1" applyFill="1" applyBorder="1" applyAlignment="1">
      <alignment horizontal="left" vertical="center"/>
    </xf>
    <xf numFmtId="0" fontId="37" fillId="16" borderId="252" xfId="0" applyFont="1" applyFill="1" applyBorder="1" applyAlignment="1">
      <alignment horizontal="left" vertical="center"/>
    </xf>
    <xf numFmtId="176" fontId="37" fillId="16" borderId="253" xfId="4" applyNumberFormat="1" applyFont="1" applyFill="1" applyBorder="1" applyAlignment="1" applyProtection="1">
      <alignment horizontal="left" vertical="center"/>
    </xf>
    <xf numFmtId="0" fontId="37" fillId="16" borderId="254" xfId="0" applyFont="1" applyFill="1" applyBorder="1" applyAlignment="1">
      <alignment horizontal="left" vertical="center"/>
    </xf>
    <xf numFmtId="0" fontId="37" fillId="16" borderId="255" xfId="0" applyFont="1" applyFill="1" applyBorder="1" applyAlignment="1">
      <alignment horizontal="left" vertical="center"/>
    </xf>
    <xf numFmtId="0" fontId="8" fillId="0" borderId="2" xfId="0" applyFont="1" applyBorder="1" applyAlignment="1">
      <alignment vertical="center" textRotation="255" shrinkToFit="1"/>
    </xf>
    <xf numFmtId="0" fontId="8" fillId="0" borderId="2" xfId="0" applyFont="1" applyBorder="1" applyAlignment="1">
      <alignment horizontal="left" vertical="center" textRotation="255" shrinkToFit="1"/>
    </xf>
    <xf numFmtId="0" fontId="8" fillId="0" borderId="52" xfId="0" applyFont="1" applyBorder="1" applyAlignment="1">
      <alignment horizontal="left" vertical="center"/>
    </xf>
    <xf numFmtId="0" fontId="8" fillId="0" borderId="8" xfId="0" applyFont="1" applyBorder="1" applyAlignment="1">
      <alignment horizontal="left" vertical="center"/>
    </xf>
    <xf numFmtId="0" fontId="8" fillId="0" borderId="23" xfId="0" applyFont="1" applyBorder="1" applyAlignment="1">
      <alignment horizontal="left" vertical="center"/>
    </xf>
    <xf numFmtId="0" fontId="8" fillId="0" borderId="10" xfId="0" applyFont="1" applyBorder="1" applyAlignment="1">
      <alignment horizontal="left" vertical="center"/>
    </xf>
    <xf numFmtId="176" fontId="8" fillId="0" borderId="23" xfId="4" applyNumberFormat="1" applyFont="1" applyFill="1" applyBorder="1" applyAlignment="1" applyProtection="1">
      <alignment horizontal="center" vertical="center"/>
    </xf>
    <xf numFmtId="0" fontId="8" fillId="0" borderId="22" xfId="0" applyFont="1" applyBorder="1" applyAlignment="1">
      <alignment horizontal="center" vertical="center"/>
    </xf>
    <xf numFmtId="176" fontId="8" fillId="0" borderId="225" xfId="0" applyNumberFormat="1" applyFont="1" applyBorder="1" applyAlignment="1">
      <alignment horizontal="center" vertical="center"/>
    </xf>
    <xf numFmtId="0" fontId="8" fillId="0" borderId="187" xfId="0" applyFont="1" applyBorder="1" applyAlignment="1">
      <alignment horizontal="center" vertical="center"/>
    </xf>
    <xf numFmtId="0" fontId="8" fillId="0" borderId="226" xfId="0" applyFont="1" applyBorder="1" applyAlignment="1">
      <alignment horizontal="center" vertical="center"/>
    </xf>
    <xf numFmtId="176" fontId="8" fillId="0" borderId="97" xfId="0" applyNumberFormat="1" applyFont="1" applyBorder="1" applyAlignment="1">
      <alignment horizontal="center" vertical="center"/>
    </xf>
    <xf numFmtId="176" fontId="8" fillId="0" borderId="52" xfId="0" applyNumberFormat="1" applyFont="1" applyBorder="1" applyAlignment="1">
      <alignment horizontal="center" vertical="center"/>
    </xf>
    <xf numFmtId="0" fontId="20" fillId="5" borderId="247" xfId="0" applyFont="1" applyFill="1" applyBorder="1" applyAlignment="1">
      <alignment vertical="top" wrapText="1"/>
    </xf>
    <xf numFmtId="0" fontId="20" fillId="5" borderId="248" xfId="0" applyFont="1" applyFill="1" applyBorder="1" applyAlignment="1">
      <alignment vertical="top" wrapText="1"/>
    </xf>
    <xf numFmtId="0" fontId="20" fillId="5" borderId="249" xfId="0" applyFont="1" applyFill="1" applyBorder="1" applyAlignment="1">
      <alignment vertical="top" wrapText="1"/>
    </xf>
    <xf numFmtId="0" fontId="20" fillId="5" borderId="24" xfId="0" applyFont="1" applyFill="1" applyBorder="1" applyAlignment="1">
      <alignment vertical="top" wrapText="1"/>
    </xf>
    <xf numFmtId="0" fontId="20" fillId="5" borderId="0" xfId="0" applyFont="1" applyFill="1" applyAlignment="1">
      <alignment vertical="top" wrapText="1"/>
    </xf>
    <xf numFmtId="0" fontId="20" fillId="5" borderId="27" xfId="0" applyFont="1" applyFill="1" applyBorder="1" applyAlignment="1">
      <alignment vertical="top" wrapText="1"/>
    </xf>
    <xf numFmtId="0" fontId="20" fillId="5" borderId="50" xfId="0" applyFont="1" applyFill="1" applyBorder="1" applyAlignment="1">
      <alignment vertical="top" wrapText="1"/>
    </xf>
    <xf numFmtId="0" fontId="20" fillId="5" borderId="38" xfId="0" applyFont="1" applyFill="1" applyBorder="1" applyAlignment="1">
      <alignment vertical="top" wrapText="1"/>
    </xf>
    <xf numFmtId="0" fontId="20" fillId="5" borderId="29" xfId="0" applyFont="1" applyFill="1" applyBorder="1" applyAlignment="1">
      <alignment vertical="top" wrapText="1"/>
    </xf>
    <xf numFmtId="0" fontId="23" fillId="0" borderId="23" xfId="0" applyFont="1" applyBorder="1" applyAlignment="1">
      <alignment vertical="top" wrapText="1"/>
    </xf>
    <xf numFmtId="0" fontId="0" fillId="0" borderId="22" xfId="0" applyBorder="1" applyAlignment="1">
      <alignment wrapText="1"/>
    </xf>
    <xf numFmtId="0" fontId="0" fillId="0" borderId="10" xfId="0" applyBorder="1" applyAlignment="1">
      <alignment wrapText="1"/>
    </xf>
    <xf numFmtId="0" fontId="0" fillId="0" borderId="244" xfId="0" applyBorder="1" applyAlignment="1">
      <alignment wrapText="1"/>
    </xf>
    <xf numFmtId="0" fontId="0" fillId="0" borderId="245" xfId="0" applyBorder="1" applyAlignment="1">
      <alignment wrapText="1"/>
    </xf>
    <xf numFmtId="0" fontId="0" fillId="0" borderId="246" xfId="0" applyBorder="1" applyAlignment="1">
      <alignment wrapText="1"/>
    </xf>
    <xf numFmtId="176" fontId="16" fillId="0" borderId="0" xfId="4" applyNumberFormat="1" applyFont="1" applyFill="1" applyBorder="1" applyAlignment="1" applyProtection="1">
      <alignment vertical="center"/>
    </xf>
    <xf numFmtId="176" fontId="0" fillId="0" borderId="22" xfId="4" applyNumberFormat="1" applyFont="1" applyFill="1" applyBorder="1" applyAlignment="1" applyProtection="1">
      <alignment horizontal="center" vertical="center" wrapText="1"/>
    </xf>
    <xf numFmtId="176" fontId="0" fillId="0" borderId="182" xfId="4" applyNumberFormat="1" applyFont="1" applyFill="1" applyBorder="1" applyAlignment="1" applyProtection="1">
      <alignment horizontal="center" vertical="center" textRotation="255" shrinkToFit="1"/>
    </xf>
    <xf numFmtId="0" fontId="0" fillId="0" borderId="175" xfId="0" applyBorder="1" applyAlignment="1">
      <alignment horizontal="center" vertical="center" textRotation="255" shrinkToFit="1"/>
    </xf>
    <xf numFmtId="0" fontId="0" fillId="0" borderId="13" xfId="0" applyBorder="1" applyAlignment="1">
      <alignment horizontal="left" vertical="center"/>
    </xf>
    <xf numFmtId="0" fontId="0" fillId="0" borderId="26" xfId="0" applyBorder="1" applyAlignment="1">
      <alignment horizontal="left" vertical="center"/>
    </xf>
    <xf numFmtId="176" fontId="0" fillId="0" borderId="78" xfId="4" applyNumberFormat="1" applyFont="1" applyFill="1" applyBorder="1" applyAlignment="1" applyProtection="1">
      <alignment horizontal="center" vertical="center"/>
    </xf>
    <xf numFmtId="0" fontId="0" fillId="0" borderId="21" xfId="0" applyBorder="1" applyAlignment="1">
      <alignment horizontal="center" vertical="center"/>
    </xf>
    <xf numFmtId="176" fontId="0" fillId="0" borderId="2" xfId="4" applyNumberFormat="1" applyFont="1" applyFill="1" applyBorder="1" applyAlignment="1" applyProtection="1">
      <alignment horizontal="center" vertical="center" textRotation="255" shrinkToFit="1"/>
    </xf>
    <xf numFmtId="0" fontId="0" fillId="0" borderId="2" xfId="0" applyBorder="1" applyAlignment="1">
      <alignment horizontal="center" vertical="center" textRotation="255" shrinkToFit="1"/>
    </xf>
    <xf numFmtId="0" fontId="0" fillId="0" borderId="227" xfId="0" applyBorder="1" applyAlignment="1">
      <alignment horizontal="center" vertical="center" textRotation="255" shrinkToFit="1"/>
    </xf>
    <xf numFmtId="0" fontId="0" fillId="0" borderId="228" xfId="0" applyBorder="1" applyAlignment="1">
      <alignment horizontal="center" vertical="center" textRotation="255" shrinkToFit="1"/>
    </xf>
    <xf numFmtId="176" fontId="0" fillId="0" borderId="4" xfId="4" applyNumberFormat="1" applyFont="1" applyFill="1" applyBorder="1" applyAlignment="1" applyProtection="1">
      <alignment horizontal="center" vertical="center" textRotation="255"/>
    </xf>
    <xf numFmtId="0" fontId="0" fillId="0" borderId="3" xfId="0" applyBorder="1" applyAlignment="1">
      <alignment horizontal="center" vertical="center" textRotation="255"/>
    </xf>
    <xf numFmtId="176" fontId="0" fillId="0" borderId="239" xfId="4" applyNumberFormat="1" applyFont="1" applyFill="1" applyBorder="1" applyAlignment="1" applyProtection="1">
      <alignment horizontal="left" vertical="center"/>
    </xf>
    <xf numFmtId="0" fontId="0" fillId="0" borderId="240" xfId="0" applyBorder="1" applyAlignment="1">
      <alignment horizontal="left" vertical="center"/>
    </xf>
    <xf numFmtId="0" fontId="0" fillId="0" borderId="23" xfId="0" applyBorder="1" applyAlignment="1">
      <alignment vertical="center" textRotation="255" wrapText="1"/>
    </xf>
    <xf numFmtId="0" fontId="0" fillId="0" borderId="24" xfId="0" applyBorder="1" applyAlignment="1">
      <alignment vertical="center"/>
    </xf>
    <xf numFmtId="0" fontId="0" fillId="0" borderId="176" xfId="0" applyBorder="1" applyAlignment="1">
      <alignment vertical="center"/>
    </xf>
    <xf numFmtId="0" fontId="0" fillId="0" borderId="233" xfId="0" applyBorder="1" applyAlignment="1">
      <alignment horizontal="left" vertical="center"/>
    </xf>
    <xf numFmtId="0" fontId="0" fillId="0" borderId="234" xfId="0" applyBorder="1" applyAlignment="1">
      <alignment horizontal="left" vertical="center"/>
    </xf>
    <xf numFmtId="0" fontId="0" fillId="0" borderId="235" xfId="0" applyBorder="1" applyAlignment="1">
      <alignment horizontal="left" vertical="center"/>
    </xf>
    <xf numFmtId="0" fontId="0" fillId="0" borderId="236" xfId="0" applyBorder="1" applyAlignment="1">
      <alignment vertical="center" textRotation="255"/>
    </xf>
    <xf numFmtId="0" fontId="0" fillId="0" borderId="238" xfId="0" applyBorder="1" applyAlignment="1">
      <alignment vertical="center" textRotation="255"/>
    </xf>
    <xf numFmtId="177" fontId="12" fillId="8" borderId="182" xfId="4" applyNumberFormat="1" applyFont="1" applyFill="1" applyBorder="1" applyAlignment="1" applyProtection="1">
      <alignment horizontal="center" vertical="center" shrinkToFit="1"/>
    </xf>
    <xf numFmtId="0" fontId="12" fillId="0" borderId="3" xfId="0" applyFont="1" applyBorder="1" applyAlignment="1">
      <alignment horizontal="center" vertical="center" shrinkToFit="1"/>
    </xf>
    <xf numFmtId="177" fontId="12" fillId="8" borderId="184" xfId="4" applyNumberFormat="1" applyFont="1" applyFill="1" applyBorder="1" applyAlignment="1" applyProtection="1">
      <alignment horizontal="center" vertical="center" shrinkToFit="1"/>
    </xf>
    <xf numFmtId="0" fontId="12" fillId="0" borderId="173" xfId="0" applyFont="1" applyBorder="1" applyAlignment="1">
      <alignment horizontal="center" vertical="center" shrinkToFit="1"/>
    </xf>
    <xf numFmtId="176" fontId="0" fillId="0" borderId="50" xfId="4" applyNumberFormat="1" applyFont="1" applyFill="1" applyBorder="1" applyAlignment="1" applyProtection="1">
      <alignment horizontal="center" vertical="center"/>
    </xf>
    <xf numFmtId="0" fontId="0" fillId="0" borderId="1" xfId="0" applyBorder="1" applyAlignment="1">
      <alignment horizontal="center" vertical="center"/>
    </xf>
    <xf numFmtId="176" fontId="12" fillId="0" borderId="52" xfId="4" applyNumberFormat="1" applyFont="1" applyFill="1" applyBorder="1" applyAlignment="1" applyProtection="1">
      <alignment horizontal="center" vertical="center"/>
    </xf>
    <xf numFmtId="0" fontId="0" fillId="0" borderId="237" xfId="0" applyBorder="1" applyAlignment="1">
      <alignment horizontal="left" vertical="center"/>
    </xf>
    <xf numFmtId="0" fontId="0" fillId="0" borderId="193" xfId="0" applyBorder="1" applyAlignment="1">
      <alignment horizontal="left" vertical="center"/>
    </xf>
    <xf numFmtId="176" fontId="0" fillId="0" borderId="237" xfId="4" applyNumberFormat="1" applyFont="1" applyFill="1" applyBorder="1" applyAlignment="1" applyProtection="1">
      <alignment horizontal="left" vertical="center"/>
    </xf>
    <xf numFmtId="176" fontId="0" fillId="0" borderId="23" xfId="4" applyNumberFormat="1" applyFont="1" applyFill="1" applyBorder="1" applyAlignment="1" applyProtection="1">
      <alignment horizontal="center" vertical="center" textRotation="255"/>
    </xf>
    <xf numFmtId="177" fontId="0" fillId="0" borderId="24" xfId="4" applyNumberFormat="1" applyFont="1" applyFill="1" applyBorder="1" applyAlignment="1" applyProtection="1">
      <alignment horizontal="center" vertical="center" wrapText="1" shrinkToFit="1"/>
    </xf>
    <xf numFmtId="0" fontId="12" fillId="0" borderId="24" xfId="0" applyFont="1" applyBorder="1" applyAlignment="1">
      <alignment horizontal="center" vertical="center" shrinkToFit="1"/>
    </xf>
    <xf numFmtId="176" fontId="17" fillId="0" borderId="0" xfId="4" applyNumberFormat="1" applyFont="1" applyFill="1" applyBorder="1" applyAlignment="1" applyProtection="1">
      <alignment vertical="center"/>
    </xf>
    <xf numFmtId="0" fontId="0" fillId="5" borderId="22" xfId="0" applyFill="1" applyBorder="1" applyAlignment="1" applyProtection="1">
      <alignment vertical="top"/>
      <protection locked="0"/>
    </xf>
    <xf numFmtId="0" fontId="0" fillId="5" borderId="10" xfId="0" applyFill="1" applyBorder="1" applyAlignment="1" applyProtection="1">
      <alignment vertical="top"/>
      <protection locked="0"/>
    </xf>
    <xf numFmtId="0" fontId="0" fillId="5" borderId="24" xfId="0" applyFill="1" applyBorder="1" applyAlignment="1" applyProtection="1">
      <alignment vertical="top"/>
      <protection locked="0"/>
    </xf>
    <xf numFmtId="0" fontId="0" fillId="5" borderId="0" xfId="0" applyFill="1" applyAlignment="1" applyProtection="1">
      <alignment vertical="top"/>
      <protection locked="0"/>
    </xf>
    <xf numFmtId="0" fontId="0" fillId="5" borderId="27" xfId="0" applyFill="1" applyBorder="1" applyAlignment="1" applyProtection="1">
      <alignment vertical="top"/>
      <protection locked="0"/>
    </xf>
    <xf numFmtId="0" fontId="0" fillId="5" borderId="50" xfId="0" applyFill="1" applyBorder="1" applyAlignment="1" applyProtection="1">
      <alignment vertical="top"/>
      <protection locked="0"/>
    </xf>
    <xf numFmtId="0" fontId="0" fillId="5" borderId="38" xfId="0" applyFill="1" applyBorder="1" applyAlignment="1" applyProtection="1">
      <alignment vertical="top"/>
      <protection locked="0"/>
    </xf>
    <xf numFmtId="0" fontId="0" fillId="5" borderId="29" xfId="0" applyFill="1" applyBorder="1" applyAlignment="1" applyProtection="1">
      <alignment vertical="top"/>
      <protection locked="0"/>
    </xf>
    <xf numFmtId="176" fontId="0" fillId="0" borderId="0" xfId="0" applyNumberFormat="1" applyAlignment="1">
      <alignment vertical="center"/>
    </xf>
    <xf numFmtId="177" fontId="12" fillId="8" borderId="23" xfId="4" applyNumberFormat="1" applyFont="1" applyFill="1" applyBorder="1" applyAlignment="1" applyProtection="1">
      <alignment horizontal="center" vertical="center" shrinkToFit="1"/>
    </xf>
    <xf numFmtId="176" fontId="29" fillId="16" borderId="225" xfId="0" applyNumberFormat="1" applyFont="1" applyFill="1" applyBorder="1" applyAlignment="1">
      <alignment horizontal="center" vertical="center"/>
    </xf>
    <xf numFmtId="0" fontId="29" fillId="16" borderId="187" xfId="0" applyFont="1" applyFill="1" applyBorder="1" applyAlignment="1">
      <alignment horizontal="center" vertical="center"/>
    </xf>
    <xf numFmtId="0" fontId="29" fillId="16" borderId="226" xfId="0" applyFont="1" applyFill="1" applyBorder="1" applyAlignment="1">
      <alignment horizontal="center" vertical="center"/>
    </xf>
    <xf numFmtId="176" fontId="12" fillId="8" borderId="4" xfId="4" applyNumberFormat="1" applyFont="1" applyFill="1" applyBorder="1" applyAlignment="1" applyProtection="1">
      <alignment horizontal="center" vertical="center" shrinkToFit="1"/>
    </xf>
    <xf numFmtId="0" fontId="0" fillId="0" borderId="3" xfId="0" applyBorder="1" applyAlignment="1">
      <alignment horizontal="center" vertical="center" shrinkToFit="1"/>
    </xf>
    <xf numFmtId="0" fontId="0" fillId="0" borderId="17" xfId="0" applyBorder="1" applyAlignment="1">
      <alignment horizontal="center" vertical="center" shrinkToFit="1"/>
    </xf>
    <xf numFmtId="177" fontId="12" fillId="8" borderId="4" xfId="4" applyNumberFormat="1" applyFont="1" applyFill="1" applyBorder="1" applyAlignment="1" applyProtection="1">
      <alignment horizontal="center" vertical="center" shrinkToFit="1"/>
    </xf>
    <xf numFmtId="177" fontId="12" fillId="8" borderId="158" xfId="4" applyNumberFormat="1" applyFont="1" applyFill="1" applyBorder="1" applyAlignment="1" applyProtection="1">
      <alignment horizontal="center" vertical="center" shrinkToFit="1"/>
    </xf>
    <xf numFmtId="0" fontId="10" fillId="19" borderId="0" xfId="0" applyFont="1" applyFill="1" applyAlignment="1">
      <alignment horizontal="center" vertical="center"/>
    </xf>
    <xf numFmtId="0" fontId="46" fillId="19" borderId="0" xfId="0" applyFont="1" applyFill="1" applyAlignment="1">
      <alignment horizontal="center" vertical="center"/>
    </xf>
    <xf numFmtId="0" fontId="9" fillId="19" borderId="0" xfId="0" applyFont="1" applyFill="1" applyAlignment="1">
      <alignment horizontal="center" vertical="center"/>
    </xf>
    <xf numFmtId="0" fontId="45" fillId="19" borderId="0" xfId="8" applyFont="1" applyFill="1" applyAlignment="1" applyProtection="1">
      <alignment horizontal="right" vertical="center"/>
    </xf>
    <xf numFmtId="0" fontId="39" fillId="0" borderId="0" xfId="0" applyFont="1" applyAlignment="1">
      <alignment horizontal="left" vertical="center"/>
    </xf>
    <xf numFmtId="0" fontId="10" fillId="20" borderId="77" xfId="0" applyFont="1" applyFill="1" applyBorder="1" applyAlignment="1">
      <alignment horizontal="center" vertical="center"/>
    </xf>
    <xf numFmtId="0" fontId="10" fillId="20" borderId="179" xfId="0" applyFont="1" applyFill="1" applyBorder="1" applyAlignment="1">
      <alignment horizontal="center" vertical="center"/>
    </xf>
    <xf numFmtId="0" fontId="10" fillId="20" borderId="34" xfId="0" applyFont="1" applyFill="1" applyBorder="1" applyAlignment="1">
      <alignment horizontal="left" vertical="center"/>
    </xf>
    <xf numFmtId="0" fontId="10" fillId="20" borderId="243" xfId="0" applyFont="1" applyFill="1" applyBorder="1" applyAlignment="1">
      <alignment horizontal="left" vertical="center"/>
    </xf>
    <xf numFmtId="0" fontId="10" fillId="20" borderId="97" xfId="0" applyFont="1" applyFill="1" applyBorder="1" applyAlignment="1">
      <alignment horizontal="left" vertical="center"/>
    </xf>
    <xf numFmtId="0" fontId="10" fillId="20" borderId="206" xfId="0" applyFont="1" applyFill="1" applyBorder="1" applyAlignment="1">
      <alignment horizontal="left" vertical="center"/>
    </xf>
    <xf numFmtId="0" fontId="10" fillId="18" borderId="0" xfId="0" applyFont="1" applyFill="1" applyAlignment="1">
      <alignment horizontal="center" vertical="center"/>
    </xf>
    <xf numFmtId="0" fontId="10" fillId="20" borderId="33" xfId="0" applyFont="1" applyFill="1" applyBorder="1" applyAlignment="1">
      <alignment horizontal="left" vertical="center"/>
    </xf>
    <xf numFmtId="0" fontId="10" fillId="20" borderId="263" xfId="0" applyFont="1" applyFill="1" applyBorder="1" applyAlignment="1">
      <alignment horizontal="left" vertical="center"/>
    </xf>
    <xf numFmtId="0" fontId="8" fillId="19" borderId="151" xfId="0" applyFont="1" applyFill="1" applyBorder="1" applyAlignment="1">
      <alignment vertical="center" wrapText="1"/>
    </xf>
    <xf numFmtId="0" fontId="10" fillId="20" borderId="182" xfId="0" applyFont="1" applyFill="1" applyBorder="1" applyAlignment="1">
      <alignment horizontal="center" vertical="center" wrapText="1"/>
    </xf>
    <xf numFmtId="0" fontId="10" fillId="20" borderId="3" xfId="0" applyFont="1" applyFill="1" applyBorder="1" applyAlignment="1">
      <alignment horizontal="center" vertical="center" wrapText="1"/>
    </xf>
    <xf numFmtId="0" fontId="10" fillId="20" borderId="175" xfId="0" applyFont="1" applyFill="1" applyBorder="1" applyAlignment="1">
      <alignment horizontal="center" vertical="center" wrapText="1"/>
    </xf>
    <xf numFmtId="0" fontId="10" fillId="20" borderId="184" xfId="0" applyFont="1" applyFill="1" applyBorder="1" applyAlignment="1">
      <alignment horizontal="center" vertical="center" wrapText="1"/>
    </xf>
    <xf numFmtId="0" fontId="0" fillId="20" borderId="173" xfId="0" applyFill="1" applyBorder="1" applyAlignment="1">
      <alignment horizontal="center" vertical="center" wrapText="1"/>
    </xf>
    <xf numFmtId="0" fontId="0" fillId="20" borderId="185" xfId="0" applyFill="1" applyBorder="1" applyAlignment="1">
      <alignment horizontal="center" vertical="center" wrapText="1"/>
    </xf>
    <xf numFmtId="0" fontId="10" fillId="20" borderId="10" xfId="0" applyFont="1" applyFill="1" applyBorder="1" applyAlignment="1">
      <alignment horizontal="center" vertical="center" wrapText="1"/>
    </xf>
    <xf numFmtId="0" fontId="0" fillId="20" borderId="174" xfId="0" applyFill="1" applyBorder="1" applyAlignment="1">
      <alignment horizontal="center" vertical="center" wrapText="1"/>
    </xf>
    <xf numFmtId="0" fontId="0" fillId="20" borderId="22" xfId="0" applyFill="1" applyBorder="1" applyAlignment="1">
      <alignment horizontal="center" vertical="center" wrapText="1"/>
    </xf>
    <xf numFmtId="0" fontId="0" fillId="20" borderId="10" xfId="0" applyFill="1" applyBorder="1" applyAlignment="1">
      <alignment horizontal="center" vertical="center" wrapText="1"/>
    </xf>
    <xf numFmtId="0" fontId="10" fillId="20" borderId="4" xfId="0" applyFont="1" applyFill="1" applyBorder="1" applyAlignment="1">
      <alignment horizontal="center" vertical="center" wrapText="1"/>
    </xf>
    <xf numFmtId="0" fontId="8" fillId="20" borderId="3" xfId="0" applyFont="1" applyFill="1" applyBorder="1" applyAlignment="1">
      <alignment horizontal="center" vertical="center" wrapText="1"/>
    </xf>
    <xf numFmtId="0" fontId="8" fillId="20" borderId="175" xfId="0" applyFont="1" applyFill="1" applyBorder="1" applyAlignment="1">
      <alignment horizontal="center" vertical="center" wrapText="1"/>
    </xf>
    <xf numFmtId="0" fontId="10" fillId="20" borderId="222" xfId="0" applyFont="1" applyFill="1" applyBorder="1" applyAlignment="1">
      <alignment horizontal="center" vertical="center" wrapText="1"/>
    </xf>
    <xf numFmtId="0" fontId="10" fillId="20" borderId="223" xfId="0" applyFont="1" applyFill="1" applyBorder="1" applyAlignment="1">
      <alignment horizontal="center" vertical="center" wrapText="1"/>
    </xf>
    <xf numFmtId="0" fontId="10" fillId="20" borderId="224" xfId="0" applyFont="1" applyFill="1" applyBorder="1" applyAlignment="1">
      <alignment horizontal="center" vertical="center" wrapText="1"/>
    </xf>
    <xf numFmtId="0" fontId="0" fillId="20" borderId="151" xfId="0" applyFill="1" applyBorder="1" applyAlignment="1">
      <alignment horizontal="center" vertical="center" wrapText="1"/>
    </xf>
    <xf numFmtId="0" fontId="0" fillId="20" borderId="181" xfId="0" applyFill="1" applyBorder="1" applyAlignment="1">
      <alignment horizontal="center" vertical="center" wrapText="1"/>
    </xf>
    <xf numFmtId="0" fontId="61" fillId="25" borderId="2" xfId="9" applyFont="1" applyFill="1" applyBorder="1" applyAlignment="1">
      <alignment horizontal="center" vertical="center"/>
    </xf>
    <xf numFmtId="0" fontId="61" fillId="25" borderId="279" xfId="9" applyFont="1" applyFill="1" applyBorder="1" applyAlignment="1">
      <alignment horizontal="center" vertical="center"/>
    </xf>
    <xf numFmtId="49" fontId="54" fillId="0" borderId="1" xfId="9" applyNumberFormat="1" applyFont="1" applyBorder="1" applyAlignment="1">
      <alignment horizontal="center" vertical="center"/>
    </xf>
    <xf numFmtId="49" fontId="54" fillId="0" borderId="8" xfId="9" applyNumberFormat="1" applyFont="1" applyBorder="1" applyAlignment="1">
      <alignment horizontal="center" vertical="center"/>
    </xf>
    <xf numFmtId="49" fontId="54" fillId="0" borderId="2" xfId="9" applyNumberFormat="1" applyFont="1" applyBorder="1" applyAlignment="1">
      <alignment horizontal="center" vertical="center"/>
    </xf>
    <xf numFmtId="0" fontId="55" fillId="0" borderId="0" xfId="9" applyFont="1" applyAlignment="1">
      <alignment horizontal="distributed" vertical="center" indent="1"/>
    </xf>
    <xf numFmtId="0" fontId="57" fillId="0" borderId="0" xfId="9" applyFont="1" applyAlignment="1">
      <alignment horizontal="center" vertical="center"/>
    </xf>
    <xf numFmtId="49" fontId="62" fillId="0" borderId="1" xfId="9" applyNumberFormat="1" applyFont="1" applyBorder="1" applyAlignment="1">
      <alignment horizontal="left" vertical="center" indent="1"/>
    </xf>
    <xf numFmtId="49" fontId="62" fillId="0" borderId="8" xfId="9" applyNumberFormat="1" applyFont="1" applyBorder="1" applyAlignment="1">
      <alignment horizontal="left" vertical="center" indent="1"/>
    </xf>
    <xf numFmtId="194" fontId="61" fillId="25" borderId="112" xfId="9" applyNumberFormat="1" applyFont="1" applyFill="1" applyBorder="1" applyAlignment="1">
      <alignment horizontal="right" vertical="center"/>
    </xf>
    <xf numFmtId="0" fontId="61" fillId="25" borderId="112" xfId="9" applyFont="1" applyFill="1" applyBorder="1" applyAlignment="1">
      <alignment horizontal="left" vertical="center"/>
    </xf>
    <xf numFmtId="0" fontId="61" fillId="25" borderId="281" xfId="9" applyFont="1" applyFill="1" applyBorder="1" applyAlignment="1">
      <alignment horizontal="left" vertical="center"/>
    </xf>
    <xf numFmtId="0" fontId="61" fillId="25" borderId="11" xfId="9" applyFont="1" applyFill="1" applyBorder="1" applyAlignment="1">
      <alignment horizontal="center" vertical="center"/>
    </xf>
    <xf numFmtId="0" fontId="61" fillId="25" borderId="5" xfId="9" applyFont="1" applyFill="1" applyBorder="1" applyAlignment="1">
      <alignment horizontal="center" vertical="center"/>
    </xf>
    <xf numFmtId="0" fontId="60" fillId="0" borderId="190" xfId="9" applyFont="1" applyBorder="1" applyAlignment="1">
      <alignment horizontal="center" vertical="center"/>
    </xf>
    <xf numFmtId="0" fontId="60" fillId="0" borderId="6" xfId="9" applyFont="1" applyBorder="1" applyAlignment="1">
      <alignment horizontal="center" vertical="center"/>
    </xf>
    <xf numFmtId="195" fontId="54" fillId="0" borderId="236" xfId="9" applyNumberFormat="1" applyFont="1" applyBorder="1" applyAlignment="1">
      <alignment horizontal="right" vertical="center"/>
    </xf>
    <xf numFmtId="195" fontId="54" fillId="0" borderId="237" xfId="9" applyNumberFormat="1" applyFont="1" applyBorder="1" applyAlignment="1">
      <alignment horizontal="right" vertical="center"/>
    </xf>
    <xf numFmtId="195" fontId="54" fillId="0" borderId="190" xfId="9" applyNumberFormat="1" applyFont="1" applyBorder="1" applyAlignment="1">
      <alignment horizontal="right" vertical="center"/>
    </xf>
    <xf numFmtId="195" fontId="54" fillId="0" borderId="193" xfId="9" applyNumberFormat="1" applyFont="1" applyBorder="1" applyAlignment="1">
      <alignment horizontal="right" vertical="center"/>
    </xf>
    <xf numFmtId="195" fontId="54" fillId="0" borderId="285" xfId="9" applyNumberFormat="1" applyFont="1" applyBorder="1" applyAlignment="1">
      <alignment horizontal="right" vertical="center"/>
    </xf>
    <xf numFmtId="194" fontId="64" fillId="0" borderId="38" xfId="9" applyNumberFormat="1" applyFont="1" applyBorder="1">
      <alignment vertical="center"/>
    </xf>
    <xf numFmtId="0" fontId="64" fillId="0" borderId="2" xfId="9" applyFont="1" applyBorder="1" applyAlignment="1">
      <alignment vertical="center" textRotation="255"/>
    </xf>
    <xf numFmtId="0" fontId="64" fillId="0" borderId="53" xfId="9" applyFont="1" applyBorder="1">
      <alignment vertical="center"/>
    </xf>
    <xf numFmtId="0" fontId="64" fillId="0" borderId="112" xfId="9" applyFont="1" applyBorder="1">
      <alignment vertical="center"/>
    </xf>
    <xf numFmtId="0" fontId="60" fillId="0" borderId="280" xfId="9" applyFont="1" applyBorder="1" applyAlignment="1">
      <alignment horizontal="center" vertical="center"/>
    </xf>
    <xf numFmtId="0" fontId="60" fillId="0" borderId="5" xfId="9" applyFont="1" applyBorder="1" applyAlignment="1">
      <alignment horizontal="center" vertical="center"/>
    </xf>
    <xf numFmtId="195" fontId="54" fillId="0" borderId="233" xfId="9" applyNumberFormat="1" applyFont="1" applyBorder="1" applyAlignment="1">
      <alignment horizontal="right" vertical="center"/>
    </xf>
    <xf numFmtId="195" fontId="54" fillId="0" borderId="234" xfId="9" applyNumberFormat="1" applyFont="1" applyBorder="1" applyAlignment="1">
      <alignment horizontal="right" vertical="center"/>
    </xf>
    <xf numFmtId="195" fontId="54" fillId="0" borderId="280" xfId="9" applyNumberFormat="1" applyFont="1" applyBorder="1" applyAlignment="1">
      <alignment horizontal="right" vertical="center"/>
    </xf>
    <xf numFmtId="195" fontId="54" fillId="0" borderId="235" xfId="9" applyNumberFormat="1" applyFont="1" applyBorder="1" applyAlignment="1">
      <alignment horizontal="right" vertical="center"/>
    </xf>
    <xf numFmtId="195" fontId="54" fillId="0" borderId="281" xfId="9" applyNumberFormat="1" applyFont="1" applyBorder="1" applyAlignment="1">
      <alignment horizontal="right" vertical="center"/>
    </xf>
    <xf numFmtId="0" fontId="64" fillId="0" borderId="54" xfId="9" applyFont="1" applyBorder="1">
      <alignment vertical="center"/>
    </xf>
    <xf numFmtId="0" fontId="64" fillId="0" borderId="19" xfId="9" applyFont="1" applyBorder="1">
      <alignment vertical="center"/>
    </xf>
    <xf numFmtId="0" fontId="61" fillId="25" borderId="52" xfId="9" applyFont="1" applyFill="1" applyBorder="1" applyAlignment="1">
      <alignment horizontal="center" vertical="center"/>
    </xf>
    <xf numFmtId="0" fontId="61" fillId="25" borderId="282" xfId="9" applyFont="1" applyFill="1" applyBorder="1" applyAlignment="1">
      <alignment horizontal="center" vertical="center"/>
    </xf>
    <xf numFmtId="0" fontId="61" fillId="25" borderId="8" xfId="9" applyFont="1" applyFill="1" applyBorder="1" applyAlignment="1">
      <alignment horizontal="center" vertical="center"/>
    </xf>
    <xf numFmtId="194" fontId="64" fillId="0" borderId="50" xfId="9" applyNumberFormat="1" applyFont="1" applyBorder="1">
      <alignment vertical="center"/>
    </xf>
    <xf numFmtId="194" fontId="64" fillId="0" borderId="283" xfId="9" applyNumberFormat="1" applyFont="1" applyBorder="1">
      <alignment vertical="center"/>
    </xf>
    <xf numFmtId="0" fontId="64" fillId="0" borderId="55" xfId="9" applyFont="1" applyBorder="1">
      <alignment vertical="center"/>
    </xf>
    <xf numFmtId="0" fontId="64" fillId="0" borderId="20" xfId="9" applyFont="1" applyBorder="1">
      <alignment vertical="center"/>
    </xf>
    <xf numFmtId="0" fontId="60" fillId="0" borderId="192" xfId="9" applyFont="1" applyBorder="1" applyAlignment="1">
      <alignment horizontal="center" vertical="center"/>
    </xf>
    <xf numFmtId="0" fontId="60" fillId="0" borderId="7" xfId="9" applyFont="1" applyBorder="1" applyAlignment="1">
      <alignment horizontal="center" vertical="center"/>
    </xf>
    <xf numFmtId="195" fontId="54" fillId="0" borderId="238" xfId="9" applyNumberFormat="1" applyFont="1" applyBorder="1" applyAlignment="1">
      <alignment horizontal="right" vertical="center"/>
    </xf>
    <xf numFmtId="195" fontId="54" fillId="0" borderId="239" xfId="9" applyNumberFormat="1" applyFont="1" applyBorder="1" applyAlignment="1">
      <alignment horizontal="right" vertical="center"/>
    </xf>
    <xf numFmtId="195" fontId="54" fillId="0" borderId="192" xfId="9" applyNumberFormat="1" applyFont="1" applyBorder="1" applyAlignment="1">
      <alignment horizontal="right" vertical="center"/>
    </xf>
    <xf numFmtId="195" fontId="54" fillId="0" borderId="240" xfId="9" applyNumberFormat="1" applyFont="1" applyBorder="1" applyAlignment="1">
      <alignment horizontal="right" vertical="center"/>
    </xf>
    <xf numFmtId="195" fontId="54" fillId="0" borderId="286" xfId="9" applyNumberFormat="1" applyFont="1" applyBorder="1" applyAlignment="1">
      <alignment horizontal="right" vertical="center"/>
    </xf>
    <xf numFmtId="196" fontId="54" fillId="0" borderId="233" xfId="9" applyNumberFormat="1" applyFont="1" applyBorder="1" applyAlignment="1">
      <alignment horizontal="right" vertical="center"/>
    </xf>
    <xf numFmtId="196" fontId="54" fillId="0" borderId="234" xfId="9" applyNumberFormat="1" applyFont="1" applyBorder="1" applyAlignment="1">
      <alignment horizontal="right" vertical="center"/>
    </xf>
    <xf numFmtId="196" fontId="54" fillId="0" borderId="235" xfId="9" applyNumberFormat="1" applyFont="1" applyBorder="1" applyAlignment="1">
      <alignment horizontal="right" vertical="center"/>
    </xf>
    <xf numFmtId="196" fontId="54" fillId="0" borderId="281" xfId="9" applyNumberFormat="1" applyFont="1" applyBorder="1" applyAlignment="1">
      <alignment horizontal="right" vertical="center"/>
    </xf>
    <xf numFmtId="196" fontId="54" fillId="0" borderId="236" xfId="9" applyNumberFormat="1" applyFont="1" applyBorder="1" applyAlignment="1">
      <alignment horizontal="right" vertical="center"/>
    </xf>
    <xf numFmtId="196" fontId="54" fillId="0" borderId="237" xfId="9" applyNumberFormat="1" applyFont="1" applyBorder="1" applyAlignment="1">
      <alignment horizontal="right" vertical="center"/>
    </xf>
    <xf numFmtId="196" fontId="54" fillId="0" borderId="190" xfId="9" applyNumberFormat="1" applyFont="1" applyBorder="1" applyAlignment="1">
      <alignment horizontal="right" vertical="center"/>
    </xf>
    <xf numFmtId="196" fontId="54" fillId="0" borderId="193" xfId="9" applyNumberFormat="1" applyFont="1" applyBorder="1" applyAlignment="1">
      <alignment horizontal="right" vertical="center"/>
    </xf>
    <xf numFmtId="196" fontId="54" fillId="0" borderId="285" xfId="9" applyNumberFormat="1" applyFont="1" applyBorder="1" applyAlignment="1">
      <alignment horizontal="right" vertical="center"/>
    </xf>
    <xf numFmtId="196" fontId="54" fillId="0" borderId="280" xfId="9" applyNumberFormat="1" applyFont="1" applyBorder="1" applyAlignment="1">
      <alignment horizontal="right" vertical="center"/>
    </xf>
    <xf numFmtId="49" fontId="60" fillId="0" borderId="190" xfId="9" applyNumberFormat="1" applyFont="1" applyBorder="1" applyAlignment="1">
      <alignment horizontal="center" vertical="center"/>
    </xf>
    <xf numFmtId="49" fontId="60" fillId="0" borderId="6" xfId="9" applyNumberFormat="1" applyFont="1" applyBorder="1" applyAlignment="1">
      <alignment horizontal="center" vertical="center"/>
    </xf>
    <xf numFmtId="196" fontId="54" fillId="0" borderId="286" xfId="9" applyNumberFormat="1" applyFont="1" applyBorder="1" applyAlignment="1">
      <alignment horizontal="right" vertical="center"/>
    </xf>
    <xf numFmtId="196" fontId="54" fillId="0" borderId="239" xfId="9" applyNumberFormat="1" applyFont="1" applyBorder="1" applyAlignment="1">
      <alignment horizontal="right" vertical="center"/>
    </xf>
    <xf numFmtId="196" fontId="54" fillId="0" borderId="240" xfId="9" applyNumberFormat="1" applyFont="1" applyBorder="1" applyAlignment="1">
      <alignment horizontal="right" vertical="center"/>
    </xf>
    <xf numFmtId="49" fontId="64" fillId="0" borderId="53" xfId="9" applyNumberFormat="1" applyFont="1" applyBorder="1">
      <alignment vertical="center"/>
    </xf>
    <xf numFmtId="49" fontId="64" fillId="0" borderId="112" xfId="9" applyNumberFormat="1" applyFont="1" applyBorder="1">
      <alignment vertical="center"/>
    </xf>
    <xf numFmtId="49" fontId="60" fillId="0" borderId="280" xfId="9" applyNumberFormat="1" applyFont="1" applyBorder="1" applyAlignment="1">
      <alignment horizontal="center" vertical="center"/>
    </xf>
    <xf numFmtId="49" fontId="60" fillId="0" borderId="5" xfId="9" applyNumberFormat="1" applyFont="1" applyBorder="1" applyAlignment="1">
      <alignment horizontal="center" vertical="center"/>
    </xf>
    <xf numFmtId="49" fontId="64" fillId="0" borderId="54" xfId="9" applyNumberFormat="1" applyFont="1" applyBorder="1">
      <alignment vertical="center"/>
    </xf>
    <xf numFmtId="49" fontId="64" fillId="0" borderId="19" xfId="9" applyNumberFormat="1" applyFont="1" applyBorder="1">
      <alignment vertical="center"/>
    </xf>
    <xf numFmtId="196" fontId="54" fillId="0" borderId="238" xfId="9" applyNumberFormat="1" applyFont="1" applyBorder="1" applyAlignment="1">
      <alignment horizontal="right" vertical="center"/>
    </xf>
    <xf numFmtId="196" fontId="54" fillId="0" borderId="192" xfId="9" applyNumberFormat="1" applyFont="1" applyBorder="1" applyAlignment="1">
      <alignment horizontal="right" vertical="center"/>
    </xf>
    <xf numFmtId="0" fontId="65" fillId="25" borderId="52" xfId="9" applyFont="1" applyFill="1" applyBorder="1" applyAlignment="1">
      <alignment horizontal="center" vertical="center"/>
    </xf>
    <xf numFmtId="0" fontId="65" fillId="25" borderId="1" xfId="9" applyFont="1" applyFill="1" applyBorder="1" applyAlignment="1">
      <alignment horizontal="center" vertical="center"/>
    </xf>
    <xf numFmtId="0" fontId="65" fillId="25" borderId="8" xfId="9" applyFont="1" applyFill="1" applyBorder="1" applyAlignment="1">
      <alignment horizontal="center" vertical="center"/>
    </xf>
    <xf numFmtId="49" fontId="62" fillId="0" borderId="23" xfId="9" applyNumberFormat="1" applyFont="1" applyBorder="1" applyAlignment="1">
      <alignment horizontal="left" vertical="top" wrapText="1"/>
    </xf>
    <xf numFmtId="49" fontId="62" fillId="0" borderId="22" xfId="9" applyNumberFormat="1" applyFont="1" applyBorder="1" applyAlignment="1">
      <alignment horizontal="left" vertical="top" wrapText="1"/>
    </xf>
    <xf numFmtId="49" fontId="62" fillId="0" borderId="10" xfId="9" applyNumberFormat="1" applyFont="1" applyBorder="1" applyAlignment="1">
      <alignment horizontal="left" vertical="top" wrapText="1"/>
    </xf>
    <xf numFmtId="49" fontId="62" fillId="0" borderId="24" xfId="9" applyNumberFormat="1" applyFont="1" applyBorder="1" applyAlignment="1">
      <alignment horizontal="left" vertical="top" wrapText="1"/>
    </xf>
    <xf numFmtId="49" fontId="62" fillId="0" borderId="0" xfId="9" applyNumberFormat="1" applyFont="1" applyAlignment="1">
      <alignment horizontal="left" vertical="top" wrapText="1"/>
    </xf>
    <xf numFmtId="49" fontId="62" fillId="0" borderId="27" xfId="9" applyNumberFormat="1" applyFont="1" applyBorder="1" applyAlignment="1">
      <alignment horizontal="left" vertical="top" wrapText="1"/>
    </xf>
    <xf numFmtId="49" fontId="62" fillId="0" borderId="50" xfId="9" applyNumberFormat="1" applyFont="1" applyBorder="1" applyAlignment="1">
      <alignment horizontal="left" vertical="top" wrapText="1"/>
    </xf>
    <xf numFmtId="49" fontId="62" fillId="0" borderId="38" xfId="9" applyNumberFormat="1" applyFont="1" applyBorder="1" applyAlignment="1">
      <alignment horizontal="left" vertical="top" wrapText="1"/>
    </xf>
    <xf numFmtId="49" fontId="62" fillId="0" borderId="29" xfId="9" applyNumberFormat="1" applyFont="1" applyBorder="1" applyAlignment="1">
      <alignment horizontal="left" vertical="top" wrapText="1"/>
    </xf>
    <xf numFmtId="49" fontId="64" fillId="0" borderId="55" xfId="9" applyNumberFormat="1" applyFont="1" applyBorder="1">
      <alignment vertical="center"/>
    </xf>
    <xf numFmtId="49" fontId="64" fillId="0" borderId="20" xfId="9" applyNumberFormat="1" applyFont="1" applyBorder="1">
      <alignment vertical="center"/>
    </xf>
    <xf numFmtId="49" fontId="60" fillId="0" borderId="192" xfId="9" applyNumberFormat="1" applyFont="1" applyBorder="1" applyAlignment="1">
      <alignment horizontal="center" vertical="center"/>
    </xf>
    <xf numFmtId="49" fontId="60" fillId="0" borderId="7" xfId="9" applyNumberFormat="1" applyFont="1" applyBorder="1" applyAlignment="1">
      <alignment horizontal="center" vertical="center"/>
    </xf>
  </cellXfs>
  <cellStyles count="10">
    <cellStyle name="パーセント" xfId="1" builtinId="5"/>
    <cellStyle name="ハイパーリンク" xfId="8" builtinId="8"/>
    <cellStyle name="桁区切り" xfId="2" builtinId="6"/>
    <cellStyle name="桁区切り 2" xfId="3" xr:uid="{00000000-0005-0000-0000-000003000000}"/>
    <cellStyle name="桁区切り 3" xfId="6" xr:uid="{00000000-0005-0000-0000-000004000000}"/>
    <cellStyle name="通貨" xfId="4" builtinId="7"/>
    <cellStyle name="標準" xfId="0" builtinId="0"/>
    <cellStyle name="標準 2" xfId="5" xr:uid="{00000000-0005-0000-0000-000007000000}"/>
    <cellStyle name="標準 2 2" xfId="9" xr:uid="{00000000-0005-0000-0000-000008000000}"/>
    <cellStyle name="標準 3" xfId="7" xr:uid="{00000000-0005-0000-0000-000009000000}"/>
  </cellStyles>
  <dxfs count="3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ill>
        <patternFill>
          <bgColor theme="1" tint="0.499984740745262"/>
        </patternFill>
      </fill>
    </dxf>
    <dxf>
      <font>
        <b/>
        <i val="0"/>
        <color rgb="FFFF0000"/>
      </font>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FF0000"/>
      </font>
    </dxf>
    <dxf>
      <font>
        <color rgb="FFFF0000"/>
      </font>
    </dxf>
    <dxf>
      <font>
        <b/>
        <i val="0"/>
        <color rgb="FFFF0000"/>
      </font>
    </dxf>
    <dxf>
      <font>
        <b/>
        <i val="0"/>
        <color rgb="FFFF0000"/>
      </font>
    </dxf>
  </dxfs>
  <tableStyles count="0" defaultTableStyle="TableStyleMedium9" defaultPivotStyle="PivotStyleLight16"/>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25</xdr:col>
      <xdr:colOff>304800</xdr:colOff>
      <xdr:row>158</xdr:row>
      <xdr:rowOff>57150</xdr:rowOff>
    </xdr:from>
    <xdr:to>
      <xdr:col>30</xdr:col>
      <xdr:colOff>209550</xdr:colOff>
      <xdr:row>168</xdr:row>
      <xdr:rowOff>266700</xdr:rowOff>
    </xdr:to>
    <xdr:sp macro="" textlink="">
      <xdr:nvSpPr>
        <xdr:cNvPr id="3" name="テキスト ボックス 2">
          <a:extLst>
            <a:ext uri="{FF2B5EF4-FFF2-40B4-BE49-F238E27FC236}">
              <a16:creationId xmlns:a16="http://schemas.microsoft.com/office/drawing/2014/main" id="{B964BE82-3818-41DB-8F3A-91D74086D62B}"/>
            </a:ext>
          </a:extLst>
        </xdr:cNvPr>
        <xdr:cNvSpPr txBox="1"/>
      </xdr:nvSpPr>
      <xdr:spPr>
        <a:xfrm>
          <a:off x="18707100" y="33566100"/>
          <a:ext cx="3162300" cy="22193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特別利益、特別損失についての備考</a:t>
          </a:r>
          <a:endParaRPr kumimoji="1" lang="en-US" altLang="ja-JP" sz="1100"/>
        </a:p>
        <a:p>
          <a:r>
            <a:rPr kumimoji="1" lang="ja-JP" altLang="en-US" sz="1100"/>
            <a:t>❏</a:t>
          </a:r>
          <a:r>
            <a:rPr kumimoji="1" lang="en-US" altLang="ja-JP" sz="1100"/>
            <a:t>35</a:t>
          </a:r>
          <a:r>
            <a:rPr kumimoji="1" lang="ja-JP" altLang="en-US" sz="1100"/>
            <a:t>期特別償却費＝</a:t>
          </a:r>
          <a:r>
            <a:rPr kumimoji="1" lang="en-US" altLang="ja-JP" sz="1100"/>
            <a:t>8</a:t>
          </a:r>
          <a:r>
            <a:rPr kumimoji="1" lang="ja-JP" altLang="en-US" sz="1100"/>
            <a:t>，</a:t>
          </a:r>
          <a:r>
            <a:rPr kumimoji="1" lang="en-US" altLang="ja-JP" sz="1100"/>
            <a:t>858</a:t>
          </a:r>
          <a:r>
            <a:rPr kumimoji="1" lang="ja-JP" altLang="en-US" sz="1100"/>
            <a:t>千円を含む</a:t>
          </a:r>
          <a:endParaRPr kumimoji="1" lang="en-US" altLang="ja-JP" sz="1100"/>
        </a:p>
        <a:p>
          <a:r>
            <a:rPr kumimoji="1" lang="ja-JP" altLang="en-US" sz="1100"/>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期特別償却費＝</a:t>
          </a:r>
          <a:r>
            <a:rPr kumimoji="1" lang="en-US" altLang="ja-JP" sz="1100">
              <a:solidFill>
                <a:schemeClr val="dk1"/>
              </a:solidFill>
              <a:effectLst/>
              <a:latin typeface="+mn-lt"/>
              <a:ea typeface="+mn-ea"/>
              <a:cs typeface="+mn-cs"/>
            </a:rPr>
            <a:t>8</a:t>
          </a: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746</a:t>
          </a:r>
          <a:r>
            <a:rPr kumimoji="1" lang="ja-JP" altLang="ja-JP" sz="1100">
              <a:solidFill>
                <a:schemeClr val="dk1"/>
              </a:solidFill>
              <a:effectLst/>
              <a:latin typeface="+mn-lt"/>
              <a:ea typeface="+mn-ea"/>
              <a:cs typeface="+mn-cs"/>
            </a:rPr>
            <a:t>千円を含む</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a:t>
          </a:r>
          <a:r>
            <a:rPr kumimoji="1" lang="ja-JP" altLang="en-US" sz="1100">
              <a:solidFill>
                <a:schemeClr val="dk1"/>
              </a:solidFill>
              <a:effectLst/>
              <a:latin typeface="+mn-lt"/>
              <a:ea typeface="+mn-ea"/>
              <a:cs typeface="+mn-cs"/>
            </a:rPr>
            <a:t>固定資産受増益（もらった）＝</a:t>
          </a:r>
          <a:r>
            <a:rPr kumimoji="1" lang="en-US" altLang="ja-JP" sz="1100">
              <a:solidFill>
                <a:schemeClr val="dk1"/>
              </a:solidFill>
              <a:effectLst/>
              <a:latin typeface="+mn-lt"/>
              <a:ea typeface="+mn-ea"/>
              <a:cs typeface="+mn-cs"/>
            </a:rPr>
            <a:t>13</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658</a:t>
          </a:r>
          <a:r>
            <a:rPr kumimoji="1" lang="ja-JP" altLang="en-US" sz="1100">
              <a:solidFill>
                <a:schemeClr val="dk1"/>
              </a:solidFill>
              <a:effectLst/>
              <a:latin typeface="+mn-lt"/>
              <a:ea typeface="+mn-ea"/>
              <a:cs typeface="+mn-cs"/>
            </a:rPr>
            <a:t>千円の背景は？</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en-US" sz="1100">
              <a:solidFill>
                <a:schemeClr val="dk1"/>
              </a:solidFill>
              <a:effectLst/>
              <a:latin typeface="+mn-lt"/>
              <a:ea typeface="+mn-ea"/>
              <a:cs typeface="+mn-cs"/>
            </a:rPr>
            <a:t>期支払手数料＝</a:t>
          </a:r>
          <a:r>
            <a:rPr kumimoji="1" lang="en-US" altLang="ja-JP" sz="1100">
              <a:solidFill>
                <a:schemeClr val="dk1"/>
              </a:solidFill>
              <a:effectLst/>
              <a:latin typeface="+mn-lt"/>
              <a:ea typeface="+mn-ea"/>
              <a:cs typeface="+mn-cs"/>
            </a:rPr>
            <a:t>25</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180</a:t>
          </a:r>
          <a:r>
            <a:rPr kumimoji="1" lang="ja-JP" altLang="en-US" sz="1100">
              <a:solidFill>
                <a:schemeClr val="dk1"/>
              </a:solidFill>
              <a:effectLst/>
              <a:latin typeface="+mn-lt"/>
              <a:ea typeface="+mn-ea"/>
              <a:cs typeface="+mn-cs"/>
            </a:rPr>
            <a:t>千円（</a:t>
          </a:r>
          <a:r>
            <a:rPr kumimoji="1" lang="ja-JP" altLang="ja-JP" sz="1100">
              <a:solidFill>
                <a:schemeClr val="dk1"/>
              </a:solidFill>
              <a:effectLst/>
              <a:latin typeface="+mn-lt"/>
              <a:ea typeface="+mn-ea"/>
              <a:cs typeface="+mn-cs"/>
            </a:rPr>
            <a:t>特別損失</a:t>
          </a:r>
          <a:r>
            <a:rPr kumimoji="1" lang="ja-JP" altLang="en-US" sz="1100">
              <a:solidFill>
                <a:schemeClr val="dk1"/>
              </a:solidFill>
              <a:effectLst/>
              <a:latin typeface="+mn-lt"/>
              <a:ea typeface="+mn-ea"/>
              <a:cs typeface="+mn-cs"/>
            </a:rPr>
            <a:t>の支払手数料とは？）</a:t>
          </a:r>
          <a:endParaRPr kumimoji="1" lang="en-US" altLang="ja-JP" sz="1100">
            <a:solidFill>
              <a:schemeClr val="dk1"/>
            </a:solidFill>
            <a:effectLst/>
            <a:latin typeface="+mn-lt"/>
            <a:ea typeface="+mn-ea"/>
            <a:cs typeface="+mn-cs"/>
          </a:endParaRP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endParaRPr kumimoji="1" lang="en-US" altLang="ja-JP" sz="1100"/>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p>
        <a:p>
          <a:endParaRPr kumimoji="1" lang="ja-JP" altLang="en-US" sz="1100"/>
        </a:p>
      </xdr:txBody>
    </xdr:sp>
    <xdr:clientData/>
  </xdr:twoCellAnchor>
  <xdr:twoCellAnchor>
    <xdr:from>
      <xdr:col>27</xdr:col>
      <xdr:colOff>148167</xdr:colOff>
      <xdr:row>6</xdr:row>
      <xdr:rowOff>169333</xdr:rowOff>
    </xdr:from>
    <xdr:to>
      <xdr:col>34</xdr:col>
      <xdr:colOff>365126</xdr:colOff>
      <xdr:row>59</xdr:row>
      <xdr:rowOff>166159</xdr:rowOff>
    </xdr:to>
    <xdr:sp macro="" textlink="">
      <xdr:nvSpPr>
        <xdr:cNvPr id="5" name="テキスト ボックス 4">
          <a:extLst>
            <a:ext uri="{FF2B5EF4-FFF2-40B4-BE49-F238E27FC236}">
              <a16:creationId xmlns:a16="http://schemas.microsoft.com/office/drawing/2014/main" id="{00000000-0008-0000-0000-000002000000}"/>
            </a:ext>
          </a:extLst>
        </xdr:cNvPr>
        <xdr:cNvSpPr txBox="1"/>
      </xdr:nvSpPr>
      <xdr:spPr>
        <a:xfrm>
          <a:off x="19917834" y="1524000"/>
          <a:ext cx="4492625" cy="10939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自己資本比率：</a:t>
          </a:r>
          <a:r>
            <a:rPr kumimoji="1" lang="en-US" altLang="ja-JP" sz="1100"/>
            <a:t>44</a:t>
          </a:r>
          <a:r>
            <a:rPr kumimoji="1" lang="ja-JP" altLang="en-US" sz="1100"/>
            <a:t>％→</a:t>
          </a:r>
          <a:r>
            <a:rPr kumimoji="1" lang="en-US" altLang="ja-JP" sz="1100"/>
            <a:t>52</a:t>
          </a:r>
          <a:r>
            <a:rPr kumimoji="1" lang="ja-JP" altLang="en-US" sz="1100"/>
            <a:t>％→</a:t>
          </a:r>
          <a:r>
            <a:rPr kumimoji="1" lang="en-US" altLang="ja-JP" sz="1100"/>
            <a:t>40</a:t>
          </a:r>
          <a:r>
            <a:rPr kumimoji="1" lang="ja-JP" altLang="en-US" sz="1100"/>
            <a:t>％→</a:t>
          </a:r>
          <a:r>
            <a:rPr kumimoji="1" lang="en-US" altLang="ja-JP" sz="1100"/>
            <a:t>34</a:t>
          </a:r>
          <a:r>
            <a:rPr kumimoji="1" lang="ja-JP" altLang="en-US" sz="1100"/>
            <a:t>％</a:t>
          </a:r>
          <a:endParaRPr kumimoji="1" lang="en-US" altLang="ja-JP" sz="1100"/>
        </a:p>
        <a:p>
          <a:r>
            <a:rPr kumimoji="1" lang="en-US" altLang="ja-JP" sz="1100"/>
            <a:t>35</a:t>
          </a:r>
          <a:r>
            <a:rPr kumimoji="1" lang="ja-JP" altLang="en-US" sz="1100"/>
            <a:t>期には優良な水準だったが、</a:t>
          </a:r>
          <a:r>
            <a:rPr kumimoji="1" lang="en-US" altLang="ja-JP" sz="1100"/>
            <a:t>36</a:t>
          </a:r>
          <a:r>
            <a:rPr kumimoji="1" lang="ja-JP" altLang="en-US" sz="1100"/>
            <a:t>期、</a:t>
          </a:r>
          <a:r>
            <a:rPr kumimoji="1" lang="en-US" altLang="ja-JP" sz="1100"/>
            <a:t>37</a:t>
          </a:r>
          <a:r>
            <a:rPr kumimoji="1" lang="ja-JP" altLang="en-US" sz="1100"/>
            <a:t>期に設備投資、在庫、関係会社株式、保険積立金、借入金の増加により普通の水準になってきている。</a:t>
          </a:r>
          <a:endParaRPr kumimoji="1" lang="en-US" altLang="ja-JP" sz="1100"/>
        </a:p>
        <a:p>
          <a:endParaRPr kumimoji="1" lang="en-US" altLang="ja-JP" sz="1100"/>
        </a:p>
        <a:p>
          <a:r>
            <a:rPr kumimoji="1" lang="ja-JP" altLang="en-US" sz="1100"/>
            <a:t>売上高は</a:t>
          </a:r>
          <a:r>
            <a:rPr kumimoji="1" lang="en-US" altLang="ja-JP" sz="1100"/>
            <a:t>37</a:t>
          </a:r>
          <a:r>
            <a:rPr kumimoji="1" lang="ja-JP" altLang="en-US" sz="1100"/>
            <a:t>期の大幅な増収要因の確認が必要。</a:t>
          </a:r>
          <a:endParaRPr kumimoji="1" lang="en-US" altLang="ja-JP" sz="1100"/>
        </a:p>
        <a:p>
          <a:endParaRPr kumimoji="1" lang="en-US" altLang="ja-JP" sz="1100"/>
        </a:p>
        <a:p>
          <a:r>
            <a:rPr kumimoji="1" lang="en-US" altLang="ja-JP" sz="1100"/>
            <a:t>37</a:t>
          </a:r>
          <a:r>
            <a:rPr kumimoji="1" lang="ja-JP" altLang="en-US" sz="1100"/>
            <a:t>期の売上総利益率は以下の要因で結果的にあまり変わっていないが、内容の変動は大きい。</a:t>
          </a:r>
          <a:endParaRPr kumimoji="1" lang="en-US" altLang="ja-JP" sz="1100"/>
        </a:p>
        <a:p>
          <a:r>
            <a:rPr kumimoji="1" lang="en-US" altLang="ja-JP" sz="1100"/>
            <a:t>37</a:t>
          </a:r>
          <a:r>
            <a:rPr kumimoji="1" lang="ja-JP" altLang="en-US" sz="1100"/>
            <a:t>期の売上原価率改善（▲</a:t>
          </a:r>
          <a:r>
            <a:rPr kumimoji="1" lang="en-US" altLang="ja-JP" sz="1100"/>
            <a:t>4</a:t>
          </a:r>
          <a:r>
            <a:rPr kumimoji="1" lang="ja-JP" altLang="en-US" sz="1100"/>
            <a:t>ポイント）要因。</a:t>
          </a:r>
        </a:p>
        <a:p>
          <a:r>
            <a:rPr kumimoji="1" lang="ja-JP" altLang="en-US" sz="1100"/>
            <a:t>材料費率＝＋</a:t>
          </a:r>
          <a:r>
            <a:rPr kumimoji="1" lang="en-US" altLang="ja-JP" sz="1100"/>
            <a:t>8</a:t>
          </a:r>
          <a:r>
            <a:rPr kumimoji="1" lang="ja-JP" altLang="en-US" sz="1100"/>
            <a:t>ポイント</a:t>
          </a:r>
        </a:p>
        <a:p>
          <a:r>
            <a:rPr kumimoji="1" lang="ja-JP" altLang="en-US" sz="1100"/>
            <a:t>労務費率＝▲</a:t>
          </a:r>
          <a:r>
            <a:rPr kumimoji="1" lang="en-US" altLang="ja-JP" sz="1100"/>
            <a:t>5</a:t>
          </a:r>
          <a:r>
            <a:rPr kumimoji="1" lang="ja-JP" altLang="en-US" sz="1100"/>
            <a:t>ポイント</a:t>
          </a:r>
        </a:p>
        <a:p>
          <a:r>
            <a:rPr kumimoji="1" lang="ja-JP" altLang="en-US" sz="1100"/>
            <a:t>製造経費率＝▲</a:t>
          </a:r>
          <a:r>
            <a:rPr kumimoji="1" lang="en-US" altLang="ja-JP" sz="1100"/>
            <a:t>3</a:t>
          </a:r>
          <a:r>
            <a:rPr kumimoji="1" lang="ja-JP" altLang="en-US" sz="1100"/>
            <a:t>ポイント</a:t>
          </a:r>
        </a:p>
        <a:p>
          <a:r>
            <a:rPr kumimoji="1" lang="ja-JP" altLang="en-US" sz="1100"/>
            <a:t>在庫の増加＝▲</a:t>
          </a:r>
          <a:r>
            <a:rPr kumimoji="1" lang="en-US" altLang="ja-JP" sz="1100"/>
            <a:t>5</a:t>
          </a:r>
          <a:r>
            <a:rPr kumimoji="1" lang="ja-JP" altLang="en-US" sz="1100"/>
            <a:t>ポイント</a:t>
          </a:r>
        </a:p>
        <a:p>
          <a:r>
            <a:rPr kumimoji="1" lang="ja-JP" altLang="en-US" sz="1100"/>
            <a:t>差引＝▲</a:t>
          </a:r>
          <a:r>
            <a:rPr kumimoji="1" lang="en-US" altLang="ja-JP" sz="1100"/>
            <a:t>5</a:t>
          </a:r>
          <a:r>
            <a:rPr kumimoji="1" lang="ja-JP" altLang="en-US" sz="1100"/>
            <a:t>ポイント</a:t>
          </a:r>
          <a:endParaRPr kumimoji="1" lang="en-US" altLang="ja-JP" sz="1100"/>
        </a:p>
        <a:p>
          <a:r>
            <a:rPr kumimoji="1" lang="ja-JP" altLang="en-US" sz="1100"/>
            <a:t>これらの要因により売上総利益率は約</a:t>
          </a:r>
          <a:r>
            <a:rPr kumimoji="1" lang="en-US" altLang="ja-JP" sz="1100"/>
            <a:t>4</a:t>
          </a:r>
          <a:r>
            <a:rPr kumimoji="1" lang="ja-JP" altLang="en-US" sz="1100"/>
            <a:t>ポイント改善</a:t>
          </a:r>
          <a:endParaRPr kumimoji="1" lang="en-US" altLang="ja-JP" sz="1100"/>
        </a:p>
        <a:p>
          <a:endParaRPr kumimoji="1" lang="en-US" altLang="ja-JP" sz="1100"/>
        </a:p>
        <a:p>
          <a:r>
            <a:rPr kumimoji="1" lang="ja-JP" altLang="en-US" sz="1100"/>
            <a:t>材料費率が増収率（</a:t>
          </a:r>
          <a:r>
            <a:rPr kumimoji="1" lang="en-US" altLang="ja-JP" sz="1100"/>
            <a:t>153</a:t>
          </a:r>
          <a:r>
            <a:rPr kumimoji="1" lang="ja-JP" altLang="en-US" sz="1100"/>
            <a:t>％）を大幅に上回る（</a:t>
          </a:r>
          <a:r>
            <a:rPr kumimoji="1" lang="en-US" altLang="ja-JP" sz="1100"/>
            <a:t>185</a:t>
          </a:r>
          <a:r>
            <a:rPr kumimoji="1" lang="ja-JP" altLang="en-US" sz="1100"/>
            <a:t>％）増加している。材料費率も対前期で約</a:t>
          </a:r>
          <a:r>
            <a:rPr kumimoji="1" lang="en-US" altLang="ja-JP" sz="1100"/>
            <a:t>8</a:t>
          </a:r>
          <a:r>
            <a:rPr kumimoji="1" lang="ja-JP" altLang="en-US" sz="1100"/>
            <a:t>ポイント悪化。</a:t>
          </a:r>
        </a:p>
        <a:p>
          <a:r>
            <a:rPr kumimoji="1" lang="ja-JP" altLang="en-US" sz="1100"/>
            <a:t>在庫の増加も考えられるが、以下の表示のため、要因を読み取りにくい。</a:t>
          </a:r>
        </a:p>
        <a:p>
          <a:r>
            <a:rPr kumimoji="1" lang="ja-JP" altLang="en-US" sz="1100"/>
            <a:t>棚卸資産の計算内訳によると在庫は原材料となっているが、損益計算書では製品在庫として表示されている。</a:t>
          </a:r>
        </a:p>
        <a:p>
          <a:r>
            <a:rPr kumimoji="1" lang="ja-JP" altLang="en-US" sz="1100"/>
            <a:t>仕掛品は計上されていない。</a:t>
          </a:r>
          <a:endParaRPr kumimoji="1" lang="en-US" altLang="ja-JP" sz="1100"/>
        </a:p>
        <a:p>
          <a:endParaRPr kumimoji="1" lang="en-US" altLang="ja-JP" sz="1100"/>
        </a:p>
        <a:p>
          <a:r>
            <a:rPr kumimoji="1" lang="ja-JP" altLang="en-US" sz="1100"/>
            <a:t>営業利益率：</a:t>
          </a:r>
          <a:r>
            <a:rPr kumimoji="1" lang="en-US" altLang="ja-JP" sz="1100"/>
            <a:t>1.9</a:t>
          </a:r>
          <a:r>
            <a:rPr kumimoji="1" lang="ja-JP" altLang="en-US" sz="1100"/>
            <a:t>％→</a:t>
          </a:r>
          <a:r>
            <a:rPr kumimoji="1" lang="en-US" altLang="ja-JP" sz="1100"/>
            <a:t>3.6</a:t>
          </a:r>
          <a:r>
            <a:rPr kumimoji="1" lang="ja-JP" altLang="en-US" sz="1100"/>
            <a:t>％→</a:t>
          </a:r>
          <a:r>
            <a:rPr kumimoji="1" lang="en-US" altLang="ja-JP" sz="1100"/>
            <a:t>2.9</a:t>
          </a:r>
          <a:r>
            <a:rPr kumimoji="1" lang="ja-JP" altLang="en-US" sz="1100"/>
            <a:t>％→</a:t>
          </a:r>
          <a:r>
            <a:rPr kumimoji="1" lang="en-US" altLang="ja-JP" sz="1100"/>
            <a:t>9.4</a:t>
          </a:r>
          <a:r>
            <a:rPr kumimoji="1" lang="ja-JP" altLang="en-US" sz="1100"/>
            <a:t>％・・・</a:t>
          </a:r>
          <a:r>
            <a:rPr kumimoji="1" lang="en-US" altLang="ja-JP" sz="1100"/>
            <a:t>36</a:t>
          </a:r>
          <a:r>
            <a:rPr kumimoji="1" lang="ja-JP" altLang="en-US" sz="1100"/>
            <a:t>期までは高くはなかったが、</a:t>
          </a:r>
          <a:r>
            <a:rPr kumimoji="1" lang="en-US" altLang="ja-JP" sz="1100"/>
            <a:t>37</a:t>
          </a:r>
          <a:r>
            <a:rPr kumimoji="1" lang="ja-JP" altLang="en-US" sz="1100"/>
            <a:t>期に優良な水準になっている。</a:t>
          </a:r>
          <a:endParaRPr kumimoji="1" lang="en-US" altLang="ja-JP" sz="1100"/>
        </a:p>
        <a:p>
          <a:endParaRPr kumimoji="1" lang="en-US" altLang="ja-JP" sz="1100"/>
        </a:p>
        <a:p>
          <a:r>
            <a:rPr kumimoji="1" lang="ja-JP" altLang="en-US" sz="1100"/>
            <a:t>簡便法債務償還年数：</a:t>
          </a:r>
          <a:r>
            <a:rPr kumimoji="1" lang="en-US" altLang="ja-JP" sz="1100"/>
            <a:t>3.5</a:t>
          </a:r>
          <a:r>
            <a:rPr kumimoji="1" lang="ja-JP" altLang="en-US" sz="1100"/>
            <a:t>年→</a:t>
          </a:r>
          <a:r>
            <a:rPr kumimoji="1" lang="en-US" altLang="ja-JP" sz="1100"/>
            <a:t>7.3</a:t>
          </a:r>
          <a:r>
            <a:rPr kumimoji="1" lang="ja-JP" altLang="en-US" sz="1100"/>
            <a:t>年→</a:t>
          </a:r>
          <a:r>
            <a:rPr kumimoji="1" lang="en-US" altLang="ja-JP" sz="1100"/>
            <a:t>11.4</a:t>
          </a:r>
          <a:r>
            <a:rPr kumimoji="1" lang="ja-JP" altLang="en-US" sz="1100"/>
            <a:t>年・・やや悪化</a:t>
          </a:r>
        </a:p>
        <a:p>
          <a:endParaRPr kumimoji="1" lang="ja-JP" altLang="en-US" sz="1100"/>
        </a:p>
        <a:p>
          <a:r>
            <a:rPr kumimoji="1" lang="en-US" altLang="ja-JP" sz="1100"/>
            <a:t>35</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24M</a:t>
          </a:r>
          <a:r>
            <a:rPr kumimoji="1" lang="ja-JP" altLang="en-US" sz="1100"/>
            <a:t>、投資</a:t>
          </a:r>
          <a:r>
            <a:rPr kumimoji="1" lang="en-US" altLang="ja-JP" sz="1100"/>
            <a:t>CF</a:t>
          </a:r>
          <a:r>
            <a:rPr kumimoji="1" lang="ja-JP" altLang="en-US" sz="1100"/>
            <a:t>＝▲</a:t>
          </a:r>
          <a:r>
            <a:rPr kumimoji="1" lang="en-US" altLang="ja-JP" sz="1100"/>
            <a:t>3M</a:t>
          </a:r>
          <a:r>
            <a:rPr kumimoji="1" lang="ja-JP" altLang="en-US" sz="1100"/>
            <a:t>、フリー</a:t>
          </a:r>
          <a:r>
            <a:rPr kumimoji="1" lang="en-US" altLang="ja-JP" sz="1100"/>
            <a:t>CF</a:t>
          </a:r>
          <a:r>
            <a:rPr kumimoji="1" lang="ja-JP" altLang="en-US" sz="1100"/>
            <a:t>＝</a:t>
          </a:r>
          <a:r>
            <a:rPr kumimoji="1" lang="en-US" altLang="ja-JP" sz="1100"/>
            <a:t>21M</a:t>
          </a:r>
          <a:r>
            <a:rPr kumimoji="1" lang="ja-JP" altLang="en-US" sz="1100"/>
            <a:t>、財務</a:t>
          </a:r>
          <a:r>
            <a:rPr kumimoji="1" lang="en-US" altLang="ja-JP" sz="1100"/>
            <a:t>CF</a:t>
          </a:r>
          <a:r>
            <a:rPr kumimoji="1" lang="ja-JP" altLang="en-US" sz="1100"/>
            <a:t>＝▲</a:t>
          </a:r>
          <a:r>
            <a:rPr kumimoji="1" lang="en-US" altLang="ja-JP" sz="1100"/>
            <a:t>46M</a:t>
          </a:r>
        </a:p>
        <a:p>
          <a:endParaRPr kumimoji="1" lang="en-US" altLang="ja-JP" sz="1100"/>
        </a:p>
        <a:p>
          <a:r>
            <a:rPr kumimoji="1" lang="en-US" altLang="ja-JP" sz="1100"/>
            <a:t>36</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35M</a:t>
          </a:r>
          <a:r>
            <a:rPr kumimoji="1" lang="ja-JP" altLang="en-US" sz="1100"/>
            <a:t>、投資</a:t>
          </a:r>
          <a:r>
            <a:rPr kumimoji="1" lang="en-US" altLang="ja-JP" sz="1100"/>
            <a:t>CF</a:t>
          </a:r>
          <a:r>
            <a:rPr kumimoji="1" lang="ja-JP" altLang="en-US" sz="1100"/>
            <a:t>＝▲</a:t>
          </a:r>
          <a:r>
            <a:rPr kumimoji="1" lang="en-US" altLang="ja-JP" sz="1100"/>
            <a:t>125M</a:t>
          </a:r>
          <a:r>
            <a:rPr kumimoji="1" lang="ja-JP" altLang="en-US" sz="1100"/>
            <a:t>、フリー</a:t>
          </a:r>
          <a:r>
            <a:rPr kumimoji="1" lang="en-US" altLang="ja-JP" sz="1100"/>
            <a:t>CF</a:t>
          </a:r>
          <a:r>
            <a:rPr kumimoji="1" lang="ja-JP" altLang="en-US" sz="1100"/>
            <a:t>＝▲</a:t>
          </a:r>
          <a:r>
            <a:rPr kumimoji="1" lang="en-US" altLang="ja-JP" sz="1100"/>
            <a:t>90M</a:t>
          </a:r>
          <a:r>
            <a:rPr kumimoji="1" lang="ja-JP" altLang="en-US" sz="1100"/>
            <a:t>、財務</a:t>
          </a:r>
          <a:r>
            <a:rPr kumimoji="1" lang="en-US" altLang="ja-JP" sz="1100"/>
            <a:t>CF</a:t>
          </a:r>
          <a:r>
            <a:rPr kumimoji="1" lang="ja-JP" altLang="en-US" sz="1100"/>
            <a:t>＝</a:t>
          </a:r>
          <a:r>
            <a:rPr kumimoji="1" lang="en-US" altLang="ja-JP" sz="1100"/>
            <a:t>136M</a:t>
          </a:r>
        </a:p>
        <a:p>
          <a:endParaRPr kumimoji="1" lang="en-US" altLang="ja-JP" sz="1100"/>
        </a:p>
        <a:p>
          <a:r>
            <a:rPr kumimoji="1" lang="en-US" altLang="ja-JP" sz="1100"/>
            <a:t>37</a:t>
          </a:r>
          <a:r>
            <a:rPr kumimoji="1" lang="ja-JP" altLang="en-US" sz="1100"/>
            <a:t>期キャッシュフロー</a:t>
          </a:r>
        </a:p>
        <a:p>
          <a:r>
            <a:rPr kumimoji="1" lang="ja-JP" altLang="en-US" sz="1100"/>
            <a:t>営業</a:t>
          </a:r>
          <a:r>
            <a:rPr kumimoji="1" lang="en-US" altLang="ja-JP" sz="1100"/>
            <a:t>CF</a:t>
          </a:r>
          <a:r>
            <a:rPr kumimoji="1" lang="ja-JP" altLang="en-US" sz="1100"/>
            <a:t>＝▲</a:t>
          </a:r>
          <a:r>
            <a:rPr kumimoji="1" lang="en-US" altLang="ja-JP" sz="1100"/>
            <a:t>21M</a:t>
          </a:r>
          <a:r>
            <a:rPr kumimoji="1" lang="ja-JP" altLang="en-US" sz="1100"/>
            <a:t>（＊</a:t>
          </a:r>
          <a:r>
            <a:rPr kumimoji="1" lang="en-US" altLang="ja-JP" sz="1100"/>
            <a:t>1</a:t>
          </a:r>
          <a:r>
            <a:rPr kumimoji="1" lang="ja-JP" altLang="en-US" sz="1100"/>
            <a:t>）、投資</a:t>
          </a:r>
          <a:r>
            <a:rPr kumimoji="1" lang="en-US" altLang="ja-JP" sz="1100"/>
            <a:t>CF</a:t>
          </a:r>
          <a:r>
            <a:rPr kumimoji="1" lang="ja-JP" altLang="en-US" sz="1100"/>
            <a:t>＝</a:t>
          </a:r>
          <a:r>
            <a:rPr kumimoji="1" lang="en-US" altLang="ja-JP" sz="1100"/>
            <a:t>53M</a:t>
          </a:r>
          <a:r>
            <a:rPr kumimoji="1" lang="ja-JP" altLang="en-US" sz="1100"/>
            <a:t>（＊</a:t>
          </a:r>
          <a:r>
            <a:rPr kumimoji="1" lang="en-US" altLang="ja-JP" sz="1100"/>
            <a:t>2</a:t>
          </a:r>
          <a:r>
            <a:rPr kumimoji="1" lang="ja-JP" altLang="en-US" sz="1100"/>
            <a:t>）、フリー</a:t>
          </a:r>
          <a:r>
            <a:rPr kumimoji="1" lang="en-US" altLang="ja-JP" sz="1100"/>
            <a:t>CF</a:t>
          </a:r>
          <a:r>
            <a:rPr kumimoji="1" lang="ja-JP" altLang="en-US" sz="1100"/>
            <a:t>＝</a:t>
          </a:r>
          <a:r>
            <a:rPr kumimoji="1" lang="en-US" altLang="ja-JP" sz="1100"/>
            <a:t>32M</a:t>
          </a:r>
          <a:r>
            <a:rPr kumimoji="1" lang="ja-JP" altLang="en-US" sz="1100"/>
            <a:t>、財務</a:t>
          </a:r>
          <a:r>
            <a:rPr kumimoji="1" lang="en-US" altLang="ja-JP" sz="1100"/>
            <a:t>CF</a:t>
          </a:r>
          <a:r>
            <a:rPr kumimoji="1" lang="ja-JP" altLang="en-US" sz="1100"/>
            <a:t>＝</a:t>
          </a:r>
          <a:r>
            <a:rPr kumimoji="1" lang="en-US" altLang="ja-JP" sz="1100"/>
            <a:t>117M</a:t>
          </a:r>
        </a:p>
        <a:p>
          <a:r>
            <a:rPr kumimoji="1" lang="ja-JP" altLang="en-US" sz="1100"/>
            <a:t>（＊</a:t>
          </a:r>
          <a:r>
            <a:rPr kumimoji="1" lang="en-US" altLang="ja-JP" sz="1100"/>
            <a:t>1</a:t>
          </a:r>
          <a:r>
            <a:rPr kumimoji="1" lang="ja-JP" altLang="en-US" sz="1100"/>
            <a:t>）売掛金、在庫の増加</a:t>
          </a:r>
        </a:p>
        <a:p>
          <a:r>
            <a:rPr kumimoji="1" lang="ja-JP" altLang="en-US" sz="1100"/>
            <a:t>（＊</a:t>
          </a:r>
          <a:r>
            <a:rPr kumimoji="1" lang="en-US" altLang="ja-JP" sz="1100"/>
            <a:t>2</a:t>
          </a:r>
          <a:r>
            <a:rPr kumimoji="1" lang="ja-JP" altLang="en-US" sz="1100"/>
            <a:t>）土地売却（＋）、関係会社株式増加（－）、保険積立金増加（－）</a:t>
          </a:r>
        </a:p>
        <a:p>
          <a:endParaRPr kumimoji="1" lang="ja-JP" altLang="en-US" sz="1100"/>
        </a:p>
        <a:p>
          <a:r>
            <a:rPr kumimoji="1" lang="ja-JP" altLang="en-US" sz="1100"/>
            <a:t>確認事項は以下のとおり。</a:t>
          </a:r>
          <a:endParaRPr kumimoji="1" lang="en-US" altLang="ja-JP" sz="1100"/>
        </a:p>
        <a:p>
          <a:r>
            <a:rPr kumimoji="1" lang="ja-JP" altLang="en-US" sz="1100"/>
            <a:t>❏減価償却費（販管費）</a:t>
          </a:r>
          <a:endParaRPr kumimoji="1" lang="en-US" altLang="ja-JP" sz="1100"/>
        </a:p>
        <a:p>
          <a:r>
            <a:rPr kumimoji="1" lang="ja-JP" altLang="en-US" sz="1100"/>
            <a:t>　</a:t>
          </a:r>
          <a:r>
            <a:rPr kumimoji="1" lang="en-US" altLang="ja-JP" sz="1100"/>
            <a:t>36</a:t>
          </a:r>
          <a:r>
            <a:rPr kumimoji="1" lang="ja-JP" altLang="en-US" sz="1100"/>
            <a:t>期、</a:t>
          </a:r>
          <a:r>
            <a:rPr kumimoji="1" lang="en-US" altLang="ja-JP" sz="1100"/>
            <a:t>37</a:t>
          </a:r>
          <a:r>
            <a:rPr kumimoji="1" lang="ja-JP" altLang="en-US" sz="1100"/>
            <a:t>期の減価償却費増加要因は？</a:t>
          </a:r>
        </a:p>
        <a:p>
          <a:r>
            <a:rPr kumimoji="1" lang="ja-JP" altLang="en-US" sz="1100"/>
            <a:t>　工場建設・増築等なら原価とすべきでは？</a:t>
          </a:r>
          <a:endParaRPr kumimoji="1" lang="en-US" altLang="ja-JP" sz="1100"/>
        </a:p>
        <a:p>
          <a:r>
            <a:rPr kumimoji="1" lang="ja-JP" altLang="en-US" sz="1100"/>
            <a:t>❏取扱手数料</a:t>
          </a:r>
          <a:endParaRPr kumimoji="1" lang="en-US" altLang="ja-JP" sz="1100"/>
        </a:p>
        <a:p>
          <a:r>
            <a:rPr kumimoji="1" lang="ja-JP" altLang="en-US" sz="1100"/>
            <a:t>　内容確認および</a:t>
          </a:r>
          <a:r>
            <a:rPr kumimoji="1" lang="en-US" altLang="ja-JP" sz="1100"/>
            <a:t>36</a:t>
          </a:r>
          <a:r>
            <a:rPr kumimoji="1" lang="ja-JP" altLang="en-US" sz="1100"/>
            <a:t>期（</a:t>
          </a:r>
          <a:r>
            <a:rPr kumimoji="1" lang="en-US" altLang="ja-JP" sz="1100"/>
            <a:t>113</a:t>
          </a:r>
          <a:r>
            <a:rPr kumimoji="1" lang="ja-JP" altLang="en-US" sz="1100"/>
            <a:t>％）、特に</a:t>
          </a:r>
          <a:r>
            <a:rPr kumimoji="1" lang="en-US" altLang="ja-JP" sz="1100"/>
            <a:t>37</a:t>
          </a:r>
          <a:r>
            <a:rPr kumimoji="1" lang="ja-JP" altLang="en-US" sz="1100"/>
            <a:t>期（</a:t>
          </a:r>
          <a:r>
            <a:rPr kumimoji="1" lang="en-US" altLang="ja-JP" sz="1100"/>
            <a:t>215</a:t>
          </a:r>
          <a:r>
            <a:rPr kumimoji="1" lang="ja-JP" altLang="en-US" sz="1100"/>
            <a:t>％）の増加要因</a:t>
          </a:r>
          <a:endParaRPr kumimoji="1" lang="en-US" altLang="ja-JP" sz="1100"/>
        </a:p>
        <a:p>
          <a:r>
            <a:rPr kumimoji="1" lang="ja-JP" altLang="en-US" sz="1100"/>
            <a:t>　・・・増収率（</a:t>
          </a:r>
          <a:r>
            <a:rPr kumimoji="1" lang="en-US" altLang="ja-JP" sz="1100"/>
            <a:t>153</a:t>
          </a:r>
          <a:r>
            <a:rPr kumimoji="1" lang="ja-JP" altLang="en-US" sz="1100"/>
            <a:t>％）を超える増加要因は？</a:t>
          </a:r>
          <a:endParaRPr kumimoji="1" lang="en-US" altLang="ja-JP" sz="1100"/>
        </a:p>
        <a:p>
          <a:r>
            <a:rPr kumimoji="1" lang="ja-JP" altLang="en-US" sz="1100"/>
            <a:t>❏関係会社株式</a:t>
          </a:r>
          <a:endParaRPr kumimoji="1" lang="en-US" altLang="ja-JP" sz="1100"/>
        </a:p>
        <a:p>
          <a:r>
            <a:rPr kumimoji="1" lang="ja-JP" altLang="en-US" sz="1100"/>
            <a:t>　内容確認（関係会社ごとの出資金額、業績・財務概要など）</a:t>
          </a:r>
          <a:endParaRPr kumimoji="1" lang="en-US" altLang="ja-JP" sz="1100"/>
        </a:p>
        <a:p>
          <a:endParaRPr kumimoji="1" lang="en-US" altLang="ja-JP" sz="1100"/>
        </a:p>
        <a:p>
          <a:r>
            <a:rPr kumimoji="1" lang="ja-JP" altLang="en-US" sz="1100"/>
            <a:t>以下については、先方にお答えいただけるようでしたらお聞きください。</a:t>
          </a:r>
          <a:endParaRPr kumimoji="1" lang="en-US" altLang="ja-JP" sz="1100"/>
        </a:p>
        <a:p>
          <a:r>
            <a:rPr kumimoji="1" lang="ja-JP" altLang="en-US" sz="1100"/>
            <a:t>特別利益、特別損失について</a:t>
          </a:r>
          <a:endParaRPr kumimoji="1" lang="en-US" altLang="ja-JP" sz="1100"/>
        </a:p>
        <a:p>
          <a:r>
            <a:rPr kumimoji="1" lang="ja-JP" altLang="en-US" sz="1100"/>
            <a:t>❏</a:t>
          </a:r>
          <a:r>
            <a:rPr kumimoji="1" lang="en-US" altLang="ja-JP" sz="1100"/>
            <a:t>36</a:t>
          </a:r>
          <a:r>
            <a:rPr kumimoji="1" lang="ja-JP" altLang="en-US" sz="1100"/>
            <a:t>期固定資産受増益（もらった）＝</a:t>
          </a:r>
          <a:r>
            <a:rPr kumimoji="1" lang="en-US" altLang="ja-JP" sz="1100"/>
            <a:t>13</a:t>
          </a:r>
          <a:r>
            <a:rPr kumimoji="1" lang="ja-JP" altLang="en-US" sz="1100"/>
            <a:t>，</a:t>
          </a:r>
          <a:r>
            <a:rPr kumimoji="1" lang="en-US" altLang="ja-JP" sz="1100"/>
            <a:t>658</a:t>
          </a:r>
          <a:r>
            <a:rPr kumimoji="1" lang="ja-JP" altLang="en-US" sz="1100"/>
            <a:t>千円の背景は？</a:t>
          </a:r>
        </a:p>
        <a:p>
          <a:r>
            <a:rPr kumimoji="1" lang="ja-JP" altLang="en-US" sz="1100"/>
            <a:t>❏</a:t>
          </a:r>
          <a:r>
            <a:rPr kumimoji="1" lang="en-US" altLang="ja-JP" sz="1100"/>
            <a:t>36</a:t>
          </a:r>
          <a:r>
            <a:rPr kumimoji="1" lang="ja-JP" altLang="en-US" sz="1100"/>
            <a:t>期支払手数料＝</a:t>
          </a:r>
          <a:r>
            <a:rPr kumimoji="1" lang="en-US" altLang="ja-JP" sz="1100"/>
            <a:t>25</a:t>
          </a:r>
          <a:r>
            <a:rPr kumimoji="1" lang="ja-JP" altLang="en-US" sz="1100"/>
            <a:t>，</a:t>
          </a:r>
          <a:r>
            <a:rPr kumimoji="1" lang="en-US" altLang="ja-JP" sz="1100"/>
            <a:t>180</a:t>
          </a:r>
          <a:r>
            <a:rPr kumimoji="1" lang="ja-JP" altLang="en-US" sz="1100"/>
            <a:t>千円（特別損失の支払手数料とは？）</a:t>
          </a: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endParaRPr kumimoji="1" lang="en-US" altLang="ja-JP" sz="1100"/>
        </a:p>
        <a:p>
          <a:endParaRPr kumimoji="1" lang="en-US" altLang="ja-JP" sz="1100"/>
        </a:p>
        <a:p>
          <a:r>
            <a:rPr kumimoji="1" lang="ja-JP" altLang="en-US" sz="1100"/>
            <a:t>その他は特徴／備考欄で気になるところをご確認ください。</a:t>
          </a:r>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1063137</xdr:colOff>
      <xdr:row>14</xdr:row>
      <xdr:rowOff>121139</xdr:rowOff>
    </xdr:from>
    <xdr:to>
      <xdr:col>9</xdr:col>
      <xdr:colOff>367567</xdr:colOff>
      <xdr:row>34</xdr:row>
      <xdr:rowOff>6838</xdr:rowOff>
    </xdr:to>
    <xdr:grpSp>
      <xdr:nvGrpSpPr>
        <xdr:cNvPr id="651954" name="グループ化 15">
          <a:extLst>
            <a:ext uri="{FF2B5EF4-FFF2-40B4-BE49-F238E27FC236}">
              <a16:creationId xmlns:a16="http://schemas.microsoft.com/office/drawing/2014/main" id="{00000000-0008-0000-0200-0000B2F20900}"/>
            </a:ext>
          </a:extLst>
        </xdr:cNvPr>
        <xdr:cNvGrpSpPr>
          <a:grpSpLocks/>
        </xdr:cNvGrpSpPr>
      </xdr:nvGrpSpPr>
      <xdr:grpSpPr bwMode="auto">
        <a:xfrm>
          <a:off x="4926477" y="3514579"/>
          <a:ext cx="2299090" cy="4762499"/>
          <a:chOff x="5486400" y="3644900"/>
          <a:chExt cx="2552700" cy="4965700"/>
        </a:xfrm>
      </xdr:grpSpPr>
      <xdr:sp macro="" textlink="">
        <xdr:nvSpPr>
          <xdr:cNvPr id="651959" name="右大かっこ 4">
            <a:extLst>
              <a:ext uri="{FF2B5EF4-FFF2-40B4-BE49-F238E27FC236}">
                <a16:creationId xmlns:a16="http://schemas.microsoft.com/office/drawing/2014/main" id="{00000000-0008-0000-0200-0000B7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60" name="カギ線コネクタ 6">
            <a:extLst>
              <a:ext uri="{FF2B5EF4-FFF2-40B4-BE49-F238E27FC236}">
                <a16:creationId xmlns:a16="http://schemas.microsoft.com/office/drawing/2014/main" id="{00000000-0008-0000-0200-0000B8F20900}"/>
              </a:ext>
            </a:extLst>
          </xdr:cNvPr>
          <xdr:cNvCxnSpPr>
            <a:cxnSpLocks noChangeShapeType="1"/>
            <a:stCxn id="651959" idx="2"/>
            <a:endCxn id="651961"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61" name="正方形/長方形 10">
            <a:extLst>
              <a:ext uri="{FF2B5EF4-FFF2-40B4-BE49-F238E27FC236}">
                <a16:creationId xmlns:a16="http://schemas.microsoft.com/office/drawing/2014/main" id="{00000000-0008-0000-0200-0000B9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twoCellAnchor>
    <xdr:from>
      <xdr:col>7</xdr:col>
      <xdr:colOff>0</xdr:colOff>
      <xdr:row>142</xdr:row>
      <xdr:rowOff>142875</xdr:rowOff>
    </xdr:from>
    <xdr:to>
      <xdr:col>9</xdr:col>
      <xdr:colOff>390525</xdr:colOff>
      <xdr:row>162</xdr:row>
      <xdr:rowOff>28575</xdr:rowOff>
    </xdr:to>
    <xdr:grpSp>
      <xdr:nvGrpSpPr>
        <xdr:cNvPr id="651955" name="グループ化 16">
          <a:extLst>
            <a:ext uri="{FF2B5EF4-FFF2-40B4-BE49-F238E27FC236}">
              <a16:creationId xmlns:a16="http://schemas.microsoft.com/office/drawing/2014/main" id="{00000000-0008-0000-0200-0000B3F20900}"/>
            </a:ext>
          </a:extLst>
        </xdr:cNvPr>
        <xdr:cNvGrpSpPr>
          <a:grpSpLocks/>
        </xdr:cNvGrpSpPr>
      </xdr:nvGrpSpPr>
      <xdr:grpSpPr bwMode="auto">
        <a:xfrm>
          <a:off x="4927600" y="27442795"/>
          <a:ext cx="2320925" cy="4762500"/>
          <a:chOff x="5486400" y="3644900"/>
          <a:chExt cx="2552700" cy="4965700"/>
        </a:xfrm>
      </xdr:grpSpPr>
      <xdr:sp macro="" textlink="">
        <xdr:nvSpPr>
          <xdr:cNvPr id="651956" name="右大かっこ 17">
            <a:extLst>
              <a:ext uri="{FF2B5EF4-FFF2-40B4-BE49-F238E27FC236}">
                <a16:creationId xmlns:a16="http://schemas.microsoft.com/office/drawing/2014/main" id="{00000000-0008-0000-0200-0000B4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57" name="カギ線コネクタ 18">
            <a:extLst>
              <a:ext uri="{FF2B5EF4-FFF2-40B4-BE49-F238E27FC236}">
                <a16:creationId xmlns:a16="http://schemas.microsoft.com/office/drawing/2014/main" id="{00000000-0008-0000-0200-0000B5F20900}"/>
              </a:ext>
            </a:extLst>
          </xdr:cNvPr>
          <xdr:cNvCxnSpPr>
            <a:cxnSpLocks noChangeShapeType="1"/>
            <a:stCxn id="651956" idx="2"/>
            <a:endCxn id="651958"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58" name="正方形/長方形 19">
            <a:extLst>
              <a:ext uri="{FF2B5EF4-FFF2-40B4-BE49-F238E27FC236}">
                <a16:creationId xmlns:a16="http://schemas.microsoft.com/office/drawing/2014/main" id="{00000000-0008-0000-0200-0000B6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36604</xdr:colOff>
      <xdr:row>37</xdr:row>
      <xdr:rowOff>104583</xdr:rowOff>
    </xdr:from>
    <xdr:to>
      <xdr:col>20</xdr:col>
      <xdr:colOff>25399</xdr:colOff>
      <xdr:row>48</xdr:row>
      <xdr:rowOff>36605</xdr:rowOff>
    </xdr:to>
    <xdr:sp macro="" textlink="">
      <xdr:nvSpPr>
        <xdr:cNvPr id="2" name="右矢印吹き出し 1">
          <a:extLst>
            <a:ext uri="{FF2B5EF4-FFF2-40B4-BE49-F238E27FC236}">
              <a16:creationId xmlns:a16="http://schemas.microsoft.com/office/drawing/2014/main" id="{00000000-0008-0000-0600-000002000000}"/>
            </a:ext>
          </a:extLst>
        </xdr:cNvPr>
        <xdr:cNvSpPr/>
      </xdr:nvSpPr>
      <xdr:spPr bwMode="auto">
        <a:xfrm rot="10800000">
          <a:off x="11276104" y="10086783"/>
          <a:ext cx="2236695" cy="19767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twoCellAnchor>
    <xdr:from>
      <xdr:col>17</xdr:col>
      <xdr:colOff>246530</xdr:colOff>
      <xdr:row>2</xdr:row>
      <xdr:rowOff>358588</xdr:rowOff>
    </xdr:from>
    <xdr:to>
      <xdr:col>18</xdr:col>
      <xdr:colOff>358588</xdr:colOff>
      <xdr:row>5</xdr:row>
      <xdr:rowOff>44824</xdr:rowOff>
    </xdr:to>
    <xdr:sp macro="" textlink="">
      <xdr:nvSpPr>
        <xdr:cNvPr id="3" name="下矢印吹き出し 2">
          <a:extLst>
            <a:ext uri="{FF2B5EF4-FFF2-40B4-BE49-F238E27FC236}">
              <a16:creationId xmlns:a16="http://schemas.microsoft.com/office/drawing/2014/main" id="{00000000-0008-0000-0600-000003000000}"/>
            </a:ext>
          </a:extLst>
        </xdr:cNvPr>
        <xdr:cNvSpPr/>
      </xdr:nvSpPr>
      <xdr:spPr bwMode="auto">
        <a:xfrm>
          <a:off x="11419355" y="749113"/>
          <a:ext cx="1159808" cy="772086"/>
        </a:xfrm>
        <a:prstGeom prst="downArrowCallout">
          <a:avLst/>
        </a:prstGeom>
        <a:solidFill>
          <a:srgbClr val="FFFFFF"/>
        </a:solidFill>
        <a:ln w="19050" cap="flat" cmpd="sng" algn="ctr">
          <a:solidFill>
            <a:srgbClr val="000000"/>
          </a:solidFill>
          <a:prstDash val="sysDash"/>
          <a:round/>
          <a:headEnd type="none" w="med" len="med"/>
          <a:tailEnd type="none" w="med" len="med"/>
        </a:ln>
        <a:effectLst/>
      </xdr:spPr>
      <xdr:txBody>
        <a:bodyPr vertOverflow="clip" wrap="square" lIns="18288" tIns="0" rIns="0" bIns="0" rtlCol="0" anchor="ctr" upright="1"/>
        <a:lstStyle/>
        <a:p>
          <a:pPr algn="ctr"/>
          <a:r>
            <a:rPr kumimoji="1" lang="ja-JP" altLang="en-US" sz="1100"/>
            <a:t>左の決算実績と</a:t>
          </a:r>
          <a:endParaRPr kumimoji="1" lang="en-US" altLang="ja-JP" sz="1100"/>
        </a:p>
        <a:p>
          <a:pPr algn="ctr"/>
          <a:r>
            <a:rPr kumimoji="1" lang="ja-JP" altLang="en-US" sz="1100"/>
            <a:t>検証</a:t>
          </a:r>
        </a:p>
      </xdr:txBody>
    </xdr:sp>
    <xdr:clientData/>
  </xdr:twoCellAnchor>
  <xdr:twoCellAnchor>
    <xdr:from>
      <xdr:col>17</xdr:col>
      <xdr:colOff>36604</xdr:colOff>
      <xdr:row>61</xdr:row>
      <xdr:rowOff>104583</xdr:rowOff>
    </xdr:from>
    <xdr:to>
      <xdr:col>20</xdr:col>
      <xdr:colOff>25399</xdr:colOff>
      <xdr:row>72</xdr:row>
      <xdr:rowOff>36605</xdr:rowOff>
    </xdr:to>
    <xdr:sp macro="" textlink="">
      <xdr:nvSpPr>
        <xdr:cNvPr id="4" name="右矢印吹き出し 3">
          <a:extLst>
            <a:ext uri="{FF2B5EF4-FFF2-40B4-BE49-F238E27FC236}">
              <a16:creationId xmlns:a16="http://schemas.microsoft.com/office/drawing/2014/main" id="{00000000-0008-0000-0600-000004000000}"/>
            </a:ext>
          </a:extLst>
        </xdr:cNvPr>
        <xdr:cNvSpPr/>
      </xdr:nvSpPr>
      <xdr:spPr bwMode="auto">
        <a:xfrm rot="10800000">
          <a:off x="11276104" y="11420283"/>
          <a:ext cx="2236695" cy="31578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2804160</xdr:colOff>
      <xdr:row>50</xdr:row>
      <xdr:rowOff>45720</xdr:rowOff>
    </xdr:from>
    <xdr:to>
      <xdr:col>2</xdr:col>
      <xdr:colOff>1013460</xdr:colOff>
      <xdr:row>51</xdr:row>
      <xdr:rowOff>129540</xdr:rowOff>
    </xdr:to>
    <xdr:sp macro="" textlink="">
      <xdr:nvSpPr>
        <xdr:cNvPr id="2" name="Freeform 7">
          <a:extLst>
            <a:ext uri="{FF2B5EF4-FFF2-40B4-BE49-F238E27FC236}">
              <a16:creationId xmlns:a16="http://schemas.microsoft.com/office/drawing/2014/main" id="{73541AA4-7119-4081-8663-4918BF1785AC}"/>
            </a:ext>
          </a:extLst>
        </xdr:cNvPr>
        <xdr:cNvSpPr>
          <a:spLocks/>
        </xdr:cNvSpPr>
      </xdr:nvSpPr>
      <xdr:spPr bwMode="auto">
        <a:xfrm>
          <a:off x="3329940" y="10515600"/>
          <a:ext cx="2141220" cy="289560"/>
        </a:xfrm>
        <a:custGeom>
          <a:avLst/>
          <a:gdLst>
            <a:gd name="T0" fmla="*/ 0 w 231"/>
            <a:gd name="T1" fmla="*/ 2147483647 h 47"/>
            <a:gd name="T2" fmla="*/ 2147483647 w 231"/>
            <a:gd name="T3" fmla="*/ 2147483647 h 47"/>
            <a:gd name="T4" fmla="*/ 2147483647 w 231"/>
            <a:gd name="T5" fmla="*/ 0 h 47"/>
            <a:gd name="T6" fmla="*/ 0 60000 65536"/>
            <a:gd name="T7" fmla="*/ 0 60000 65536"/>
            <a:gd name="T8" fmla="*/ 0 60000 65536"/>
            <a:gd name="T9" fmla="*/ 0 w 231"/>
            <a:gd name="T10" fmla="*/ 0 h 47"/>
            <a:gd name="T11" fmla="*/ 231 w 231"/>
            <a:gd name="T12" fmla="*/ 47 h 47"/>
          </a:gdLst>
          <a:ahLst/>
          <a:cxnLst>
            <a:cxn ang="T6">
              <a:pos x="T0" y="T1"/>
            </a:cxn>
            <a:cxn ang="T7">
              <a:pos x="T2" y="T3"/>
            </a:cxn>
            <a:cxn ang="T8">
              <a:pos x="T4" y="T5"/>
            </a:cxn>
          </a:cxnLst>
          <a:rect l="T9" t="T10" r="T11" b="T12"/>
          <a:pathLst>
            <a:path w="231" h="47">
              <a:moveTo>
                <a:pt x="0" y="47"/>
              </a:moveTo>
              <a:lnTo>
                <a:pt x="231" y="47"/>
              </a:lnTo>
              <a:lnTo>
                <a:pt x="231" y="0"/>
              </a:lnTo>
            </a:path>
          </a:pathLst>
        </a:custGeom>
        <a:noFill/>
        <a:ln w="38100">
          <a:solidFill>
            <a:srgbClr val="0000FF"/>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2804160</xdr:colOff>
      <xdr:row>50</xdr:row>
      <xdr:rowOff>45720</xdr:rowOff>
    </xdr:from>
    <xdr:to>
      <xdr:col>2</xdr:col>
      <xdr:colOff>1013460</xdr:colOff>
      <xdr:row>51</xdr:row>
      <xdr:rowOff>129540</xdr:rowOff>
    </xdr:to>
    <xdr:sp macro="" textlink="">
      <xdr:nvSpPr>
        <xdr:cNvPr id="2" name="Freeform 7">
          <a:extLst>
            <a:ext uri="{FF2B5EF4-FFF2-40B4-BE49-F238E27FC236}">
              <a16:creationId xmlns:a16="http://schemas.microsoft.com/office/drawing/2014/main" id="{173228B3-9915-48C6-B55C-C5AB4A170141}"/>
            </a:ext>
          </a:extLst>
        </xdr:cNvPr>
        <xdr:cNvSpPr>
          <a:spLocks/>
        </xdr:cNvSpPr>
      </xdr:nvSpPr>
      <xdr:spPr bwMode="auto">
        <a:xfrm>
          <a:off x="3329940" y="10515600"/>
          <a:ext cx="2141220" cy="289560"/>
        </a:xfrm>
        <a:custGeom>
          <a:avLst/>
          <a:gdLst>
            <a:gd name="T0" fmla="*/ 0 w 231"/>
            <a:gd name="T1" fmla="*/ 2147483647 h 47"/>
            <a:gd name="T2" fmla="*/ 2147483647 w 231"/>
            <a:gd name="T3" fmla="*/ 2147483647 h 47"/>
            <a:gd name="T4" fmla="*/ 2147483647 w 231"/>
            <a:gd name="T5" fmla="*/ 0 h 47"/>
            <a:gd name="T6" fmla="*/ 0 60000 65536"/>
            <a:gd name="T7" fmla="*/ 0 60000 65536"/>
            <a:gd name="T8" fmla="*/ 0 60000 65536"/>
            <a:gd name="T9" fmla="*/ 0 w 231"/>
            <a:gd name="T10" fmla="*/ 0 h 47"/>
            <a:gd name="T11" fmla="*/ 231 w 231"/>
            <a:gd name="T12" fmla="*/ 47 h 47"/>
          </a:gdLst>
          <a:ahLst/>
          <a:cxnLst>
            <a:cxn ang="T6">
              <a:pos x="T0" y="T1"/>
            </a:cxn>
            <a:cxn ang="T7">
              <a:pos x="T2" y="T3"/>
            </a:cxn>
            <a:cxn ang="T8">
              <a:pos x="T4" y="T5"/>
            </a:cxn>
          </a:cxnLst>
          <a:rect l="T9" t="T10" r="T11" b="T12"/>
          <a:pathLst>
            <a:path w="231" h="47">
              <a:moveTo>
                <a:pt x="0" y="47"/>
              </a:moveTo>
              <a:lnTo>
                <a:pt x="231" y="47"/>
              </a:lnTo>
              <a:lnTo>
                <a:pt x="231" y="0"/>
              </a:lnTo>
            </a:path>
          </a:pathLst>
        </a:custGeom>
        <a:noFill/>
        <a:ln w="38100">
          <a:solidFill>
            <a:srgbClr val="0000FF"/>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A6B74AEB-7CF8-4C36-A163-79084F4F70E7}"/>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1570C734-D5FB-46DC-A5C0-AAA6BA1C5BAB}"/>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9"/>
  </sheetPr>
  <dimension ref="A1:CQ192"/>
  <sheetViews>
    <sheetView showGridLines="0" tabSelected="1" zoomScaleNormal="100" zoomScaleSheetLayoutView="100" workbookViewId="0">
      <pane xSplit="4" ySplit="5" topLeftCell="E6" activePane="bottomRight" state="frozen"/>
      <selection pane="topRight" activeCell="E1" sqref="E1"/>
      <selection pane="bottomLeft" activeCell="A6" sqref="A6"/>
      <selection pane="bottomRight" activeCell="J6" sqref="J6"/>
    </sheetView>
  </sheetViews>
  <sheetFormatPr defaultColWidth="9" defaultRowHeight="13.2" x14ac:dyDescent="0.2"/>
  <cols>
    <col min="1" max="1" width="4" style="100" customWidth="1"/>
    <col min="2" max="3" width="3.21875" style="100" customWidth="1"/>
    <col min="4" max="4" width="18.6640625" style="100" customWidth="1"/>
    <col min="5" max="5" width="13.109375" style="100" customWidth="1"/>
    <col min="6" max="6" width="6.6640625" style="104" customWidth="1"/>
    <col min="7" max="7" width="13.109375" style="100" customWidth="1"/>
    <col min="8" max="8" width="6.6640625" style="99" customWidth="1"/>
    <col min="9" max="9" width="6.6640625" style="105" customWidth="1"/>
    <col min="10" max="10" width="13.109375" style="100" customWidth="1"/>
    <col min="11" max="12" width="6.6640625" style="99" customWidth="1"/>
    <col min="13" max="14" width="13.109375" style="100" customWidth="1"/>
    <col min="15" max="15" width="46.109375" style="470" customWidth="1"/>
    <col min="16" max="16" width="9" style="1400"/>
    <col min="17" max="17" width="1.44140625" style="1338" customWidth="1"/>
    <col min="18" max="18" width="9" style="1338"/>
    <col min="19" max="20" width="1.44140625" style="1338" customWidth="1"/>
    <col min="21" max="27" width="9" style="1338"/>
    <col min="28" max="28" width="6.77734375" style="1339" customWidth="1"/>
    <col min="29" max="42" width="9" style="1338"/>
    <col min="43" max="51" width="9" style="4"/>
    <col min="52" max="52" width="3.77734375" style="100" customWidth="1"/>
    <col min="53" max="75" width="9" style="4"/>
    <col min="76" max="76" width="4.77734375" style="100" customWidth="1"/>
    <col min="77" max="95" width="9" style="4"/>
    <col min="96" max="16384" width="9" style="100"/>
  </cols>
  <sheetData>
    <row r="1" spans="1:95" ht="16.2" x14ac:dyDescent="0.2">
      <c r="A1" s="97" t="s">
        <v>242</v>
      </c>
      <c r="B1" s="98"/>
      <c r="C1" s="98"/>
      <c r="D1" s="1575"/>
      <c r="E1" s="1575"/>
      <c r="F1" s="99"/>
      <c r="I1" s="99"/>
      <c r="O1" s="1348">
        <f ca="1">TODAY()</f>
        <v>46071</v>
      </c>
    </row>
    <row r="2" spans="1:95" ht="16.2" x14ac:dyDescent="0.2">
      <c r="A2" s="1578" t="s">
        <v>174</v>
      </c>
      <c r="B2" s="1579"/>
      <c r="C2" s="1579"/>
      <c r="D2" s="1579"/>
      <c r="E2" s="1579"/>
      <c r="F2" s="1579"/>
      <c r="G2" s="1579"/>
      <c r="H2" s="1579"/>
      <c r="I2" s="1579"/>
      <c r="J2" s="1579"/>
      <c r="K2" s="1579"/>
      <c r="L2" s="1579"/>
      <c r="M2" s="1579"/>
      <c r="N2" s="1579"/>
      <c r="O2" s="1579"/>
    </row>
    <row r="3" spans="1:95" x14ac:dyDescent="0.2">
      <c r="A3" s="103"/>
      <c r="C3" s="103"/>
      <c r="O3" s="1349" t="s">
        <v>216</v>
      </c>
      <c r="AB3" s="1340"/>
    </row>
    <row r="4" spans="1:95" s="111" customFormat="1" ht="30" customHeight="1" x14ac:dyDescent="0.2">
      <c r="A4" s="1467" t="s">
        <v>162</v>
      </c>
      <c r="B4" s="1468"/>
      <c r="C4" s="1468"/>
      <c r="D4" s="1468"/>
      <c r="E4" s="9" t="s">
        <v>739</v>
      </c>
      <c r="F4" s="107" t="s">
        <v>1</v>
      </c>
      <c r="G4" s="9" t="s">
        <v>740</v>
      </c>
      <c r="H4" s="108" t="s">
        <v>1</v>
      </c>
      <c r="I4" s="109" t="s">
        <v>691</v>
      </c>
      <c r="J4" s="9" t="s">
        <v>741</v>
      </c>
      <c r="K4" s="108" t="s">
        <v>1</v>
      </c>
      <c r="L4" s="110" t="s">
        <v>200</v>
      </c>
      <c r="M4" s="1443" t="s">
        <v>201</v>
      </c>
      <c r="N4" s="1444"/>
      <c r="O4" s="1557" t="s">
        <v>2</v>
      </c>
      <c r="P4" s="1401"/>
      <c r="Q4" s="1338"/>
      <c r="R4" s="1338"/>
      <c r="S4" s="1338"/>
      <c r="T4" s="1338"/>
      <c r="U4" s="1338"/>
      <c r="V4" s="1338"/>
      <c r="W4" s="1341"/>
      <c r="X4" s="1341"/>
      <c r="Y4" s="1341"/>
      <c r="Z4" s="1341"/>
      <c r="AA4" s="1341"/>
      <c r="AB4" s="1340"/>
      <c r="AC4" s="1341"/>
      <c r="AD4" s="1341"/>
      <c r="AE4" s="1341"/>
      <c r="AF4" s="1341"/>
      <c r="AG4" s="1341"/>
      <c r="AH4" s="1341"/>
      <c r="AI4" s="1341"/>
      <c r="AJ4" s="1341"/>
      <c r="AK4" s="1341"/>
      <c r="AL4" s="1341"/>
      <c r="AM4" s="1341"/>
      <c r="AN4" s="1341"/>
      <c r="AO4" s="1341"/>
      <c r="AP4" s="1341"/>
      <c r="AQ4" s="57"/>
      <c r="AR4" s="57"/>
      <c r="AS4" s="57"/>
      <c r="AT4" s="57"/>
      <c r="AU4" s="57"/>
      <c r="AV4" s="57"/>
      <c r="AW4" s="57"/>
      <c r="AX4" s="57"/>
      <c r="AY4" s="57"/>
      <c r="BA4" s="57"/>
      <c r="BB4" s="57"/>
      <c r="BC4" s="57"/>
      <c r="BD4" s="57"/>
      <c r="BE4" s="57"/>
      <c r="BF4" s="57"/>
      <c r="BG4" s="57"/>
      <c r="BH4" s="57"/>
      <c r="BI4" s="57"/>
      <c r="BJ4" s="57"/>
      <c r="BK4" s="57"/>
      <c r="BL4" s="57"/>
      <c r="BM4" s="57"/>
      <c r="BN4" s="57"/>
      <c r="BO4" s="57"/>
      <c r="BP4" s="57"/>
      <c r="BQ4" s="57"/>
      <c r="BR4" s="57"/>
      <c r="BS4" s="57"/>
      <c r="BT4" s="57"/>
      <c r="BU4" s="57"/>
      <c r="BV4" s="57"/>
      <c r="BW4" s="57"/>
      <c r="BY4" s="57"/>
      <c r="BZ4" s="57"/>
      <c r="CA4" s="57"/>
      <c r="CB4" s="57"/>
      <c r="CC4" s="57"/>
      <c r="CD4" s="57"/>
      <c r="CE4" s="57"/>
      <c r="CF4" s="57"/>
      <c r="CG4" s="57"/>
      <c r="CH4" s="57"/>
      <c r="CI4" s="57"/>
      <c r="CJ4" s="57"/>
      <c r="CK4" s="57"/>
      <c r="CL4" s="57"/>
      <c r="CM4" s="57"/>
      <c r="CN4" s="57"/>
      <c r="CO4" s="57"/>
      <c r="CP4" s="57"/>
      <c r="CQ4" s="57"/>
    </row>
    <row r="5" spans="1:95" ht="15" customHeight="1" x14ac:dyDescent="0.2">
      <c r="A5" s="1469"/>
      <c r="B5" s="1470"/>
      <c r="C5" s="1470"/>
      <c r="D5" s="1470"/>
      <c r="E5" s="887" t="s">
        <v>779</v>
      </c>
      <c r="F5" s="112" t="s">
        <v>4</v>
      </c>
      <c r="G5" s="887" t="s">
        <v>780</v>
      </c>
      <c r="H5" s="113" t="s">
        <v>4</v>
      </c>
      <c r="I5" s="114" t="s">
        <v>4</v>
      </c>
      <c r="J5" s="887" t="s">
        <v>781</v>
      </c>
      <c r="K5" s="113" t="s">
        <v>4</v>
      </c>
      <c r="L5" s="114" t="s">
        <v>4</v>
      </c>
      <c r="M5" s="115" t="str">
        <f>G5</f>
        <v>前期</v>
      </c>
      <c r="N5" s="115" t="str">
        <f>J5</f>
        <v>今期</v>
      </c>
      <c r="O5" s="1588"/>
    </row>
    <row r="6" spans="1:95" ht="15.75" customHeight="1" x14ac:dyDescent="0.2">
      <c r="A6" s="1457" t="s">
        <v>198</v>
      </c>
      <c r="B6" s="1471" t="s">
        <v>471</v>
      </c>
      <c r="C6" s="1461" t="s">
        <v>197</v>
      </c>
      <c r="D6" s="290" t="s">
        <v>9</v>
      </c>
      <c r="E6" s="888"/>
      <c r="F6" s="117" t="str">
        <f t="shared" ref="F6:F49" si="0">IF(E6=0,"",E6/E$50)</f>
        <v/>
      </c>
      <c r="G6" s="888"/>
      <c r="H6" s="118" t="str">
        <f t="shared" ref="H6:H49" si="1">IF(G6=0,"",G6/G$50)</f>
        <v/>
      </c>
      <c r="I6" s="119" t="str">
        <f t="shared" ref="I6:I69" si="2">IF(E6*G6=0,"",G6/E6)</f>
        <v/>
      </c>
      <c r="J6" s="954"/>
      <c r="K6" s="118" t="str">
        <f t="shared" ref="K6:K49" si="3">IF(J6=0,"",J6/J$50)</f>
        <v/>
      </c>
      <c r="L6" s="119" t="str">
        <f t="shared" ref="L6:L33" si="4">IF(G6*J6=0,"",J6/G6)</f>
        <v/>
      </c>
      <c r="M6" s="120">
        <f t="shared" ref="M6:M33" si="5">G6-E6</f>
        <v>0</v>
      </c>
      <c r="N6" s="120">
        <f t="shared" ref="N6:N33" si="6">J6-G6</f>
        <v>0</v>
      </c>
      <c r="O6" s="1350"/>
      <c r="AB6" s="1342"/>
    </row>
    <row r="7" spans="1:95" ht="15.75" customHeight="1" x14ac:dyDescent="0.2">
      <c r="A7" s="1458"/>
      <c r="B7" s="1455"/>
      <c r="C7" s="1462"/>
      <c r="D7" s="885" t="s">
        <v>342</v>
      </c>
      <c r="E7" s="889"/>
      <c r="F7" s="121" t="str">
        <f t="shared" si="0"/>
        <v/>
      </c>
      <c r="G7" s="889"/>
      <c r="H7" s="122" t="str">
        <f t="shared" si="1"/>
        <v/>
      </c>
      <c r="I7" s="123" t="str">
        <f t="shared" si="2"/>
        <v/>
      </c>
      <c r="J7" s="889"/>
      <c r="K7" s="122" t="str">
        <f t="shared" si="3"/>
        <v/>
      </c>
      <c r="L7" s="123" t="str">
        <f t="shared" si="4"/>
        <v/>
      </c>
      <c r="M7" s="124">
        <f>G7-E7</f>
        <v>0</v>
      </c>
      <c r="N7" s="124">
        <f>J7-G7</f>
        <v>0</v>
      </c>
      <c r="O7" s="1351"/>
      <c r="AB7" s="1342"/>
    </row>
    <row r="8" spans="1:95" ht="15.75" customHeight="1" x14ac:dyDescent="0.2">
      <c r="A8" s="1458"/>
      <c r="B8" s="1455"/>
      <c r="C8" s="1462"/>
      <c r="D8" s="953" t="s">
        <v>508</v>
      </c>
      <c r="E8" s="890"/>
      <c r="F8" s="121" t="str">
        <f t="shared" si="0"/>
        <v/>
      </c>
      <c r="G8" s="889"/>
      <c r="H8" s="122" t="str">
        <f t="shared" si="1"/>
        <v/>
      </c>
      <c r="I8" s="123" t="str">
        <f>IF(E8*G8=0,"",G8/E8)</f>
        <v/>
      </c>
      <c r="J8" s="889"/>
      <c r="K8" s="122" t="str">
        <f t="shared" si="3"/>
        <v/>
      </c>
      <c r="L8" s="123" t="str">
        <f>IF(G8*J8=0,"",J8/G8)</f>
        <v/>
      </c>
      <c r="M8" s="124">
        <f>G8-E8</f>
        <v>0</v>
      </c>
      <c r="N8" s="124">
        <f>J8-G8</f>
        <v>0</v>
      </c>
      <c r="O8" s="1591"/>
      <c r="AB8" s="1342"/>
    </row>
    <row r="9" spans="1:95" ht="15.75" customHeight="1" x14ac:dyDescent="0.2">
      <c r="A9" s="1459"/>
      <c r="B9" s="1455"/>
      <c r="C9" s="1462"/>
      <c r="D9" s="953" t="s">
        <v>507</v>
      </c>
      <c r="E9" s="890"/>
      <c r="F9" s="121" t="str">
        <f t="shared" si="0"/>
        <v/>
      </c>
      <c r="G9" s="889"/>
      <c r="H9" s="122" t="str">
        <f t="shared" si="1"/>
        <v/>
      </c>
      <c r="I9" s="123" t="str">
        <f t="shared" si="2"/>
        <v/>
      </c>
      <c r="J9" s="894"/>
      <c r="K9" s="122" t="str">
        <f t="shared" si="3"/>
        <v/>
      </c>
      <c r="L9" s="123" t="str">
        <f t="shared" si="4"/>
        <v/>
      </c>
      <c r="M9" s="124">
        <f t="shared" si="5"/>
        <v>0</v>
      </c>
      <c r="N9" s="124">
        <f t="shared" si="6"/>
        <v>0</v>
      </c>
      <c r="O9" s="1592"/>
    </row>
    <row r="10" spans="1:95" ht="15.75" customHeight="1" x14ac:dyDescent="0.2">
      <c r="A10" s="1459"/>
      <c r="B10" s="1455"/>
      <c r="C10" s="1462"/>
      <c r="D10" s="903"/>
      <c r="E10" s="891"/>
      <c r="F10" s="126" t="str">
        <f t="shared" si="0"/>
        <v/>
      </c>
      <c r="G10" s="892"/>
      <c r="H10" s="127" t="str">
        <f t="shared" si="1"/>
        <v/>
      </c>
      <c r="I10" s="128" t="str">
        <f t="shared" si="2"/>
        <v/>
      </c>
      <c r="J10" s="892"/>
      <c r="K10" s="127" t="str">
        <f t="shared" si="3"/>
        <v/>
      </c>
      <c r="L10" s="128" t="str">
        <f t="shared" si="4"/>
        <v/>
      </c>
      <c r="M10" s="129">
        <f t="shared" si="5"/>
        <v>0</v>
      </c>
      <c r="N10" s="129">
        <f t="shared" si="6"/>
        <v>0</v>
      </c>
      <c r="O10" s="1352"/>
      <c r="AB10" s="1342"/>
    </row>
    <row r="11" spans="1:95" ht="21" customHeight="1" x14ac:dyDescent="0.2">
      <c r="A11" s="1459"/>
      <c r="B11" s="1455"/>
      <c r="C11" s="1463"/>
      <c r="D11" s="895" t="s">
        <v>196</v>
      </c>
      <c r="E11" s="896">
        <f>SUM(E6:E10)-E7</f>
        <v>0</v>
      </c>
      <c r="F11" s="130" t="str">
        <f t="shared" si="0"/>
        <v/>
      </c>
      <c r="G11" s="897">
        <f>SUM(G6:G10)-G7</f>
        <v>0</v>
      </c>
      <c r="H11" s="132" t="str">
        <f t="shared" si="1"/>
        <v/>
      </c>
      <c r="I11" s="133" t="str">
        <f t="shared" si="2"/>
        <v/>
      </c>
      <c r="J11" s="896">
        <f>SUM(J6:J10)-J7</f>
        <v>0</v>
      </c>
      <c r="K11" s="132" t="str">
        <f t="shared" si="3"/>
        <v/>
      </c>
      <c r="L11" s="133" t="str">
        <f t="shared" si="4"/>
        <v/>
      </c>
      <c r="M11" s="134">
        <f t="shared" si="5"/>
        <v>0</v>
      </c>
      <c r="N11" s="134">
        <f t="shared" si="6"/>
        <v>0</v>
      </c>
      <c r="O11" s="1353"/>
    </row>
    <row r="12" spans="1:95" ht="15.75" customHeight="1" x14ac:dyDescent="0.2">
      <c r="A12" s="1459"/>
      <c r="B12" s="1455"/>
      <c r="C12" s="1453" t="s">
        <v>161</v>
      </c>
      <c r="D12" s="967" t="s">
        <v>521</v>
      </c>
      <c r="E12" s="893">
        <v>0</v>
      </c>
      <c r="F12" s="117" t="str">
        <f t="shared" si="0"/>
        <v/>
      </c>
      <c r="G12" s="888"/>
      <c r="H12" s="118" t="str">
        <f t="shared" si="1"/>
        <v/>
      </c>
      <c r="I12" s="119" t="str">
        <f t="shared" si="2"/>
        <v/>
      </c>
      <c r="J12" s="893"/>
      <c r="K12" s="118" t="str">
        <f t="shared" si="3"/>
        <v/>
      </c>
      <c r="L12" s="119" t="str">
        <f t="shared" si="4"/>
        <v/>
      </c>
      <c r="M12" s="120">
        <f t="shared" si="5"/>
        <v>0</v>
      </c>
      <c r="N12" s="120">
        <f t="shared" si="6"/>
        <v>0</v>
      </c>
      <c r="O12" s="1593"/>
      <c r="AB12" s="1342"/>
    </row>
    <row r="13" spans="1:95" ht="15.75" customHeight="1" x14ac:dyDescent="0.2">
      <c r="A13" s="1459"/>
      <c r="B13" s="1455"/>
      <c r="C13" s="1452"/>
      <c r="D13" s="886" t="s">
        <v>17</v>
      </c>
      <c r="E13" s="890">
        <v>0</v>
      </c>
      <c r="F13" s="121" t="str">
        <f t="shared" si="0"/>
        <v/>
      </c>
      <c r="G13" s="889"/>
      <c r="H13" s="122" t="str">
        <f t="shared" si="1"/>
        <v/>
      </c>
      <c r="I13" s="123" t="str">
        <f t="shared" si="2"/>
        <v/>
      </c>
      <c r="J13" s="890"/>
      <c r="K13" s="122" t="str">
        <f t="shared" si="3"/>
        <v/>
      </c>
      <c r="L13" s="123" t="str">
        <f t="shared" si="4"/>
        <v/>
      </c>
      <c r="M13" s="124">
        <f t="shared" si="5"/>
        <v>0</v>
      </c>
      <c r="N13" s="124">
        <f t="shared" si="6"/>
        <v>0</v>
      </c>
      <c r="O13" s="1594"/>
    </row>
    <row r="14" spans="1:95" ht="15.75" customHeight="1" x14ac:dyDescent="0.2">
      <c r="A14" s="1459"/>
      <c r="B14" s="1455"/>
      <c r="C14" s="1452"/>
      <c r="D14" s="886" t="s">
        <v>58</v>
      </c>
      <c r="E14" s="890">
        <v>0</v>
      </c>
      <c r="F14" s="121" t="str">
        <f t="shared" si="0"/>
        <v/>
      </c>
      <c r="G14" s="889"/>
      <c r="H14" s="122" t="str">
        <f t="shared" si="1"/>
        <v/>
      </c>
      <c r="I14" s="123" t="str">
        <f t="shared" si="2"/>
        <v/>
      </c>
      <c r="J14" s="890"/>
      <c r="K14" s="122" t="str">
        <f t="shared" si="3"/>
        <v/>
      </c>
      <c r="L14" s="123" t="str">
        <f t="shared" si="4"/>
        <v/>
      </c>
      <c r="M14" s="124">
        <f t="shared" si="5"/>
        <v>0</v>
      </c>
      <c r="N14" s="124">
        <f t="shared" si="6"/>
        <v>0</v>
      </c>
      <c r="O14" s="1594"/>
    </row>
    <row r="15" spans="1:95" ht="15.75" customHeight="1" x14ac:dyDescent="0.2">
      <c r="A15" s="1459"/>
      <c r="B15" s="1455"/>
      <c r="C15" s="1452"/>
      <c r="D15" s="894" t="s">
        <v>692</v>
      </c>
      <c r="E15" s="890"/>
      <c r="F15" s="121" t="str">
        <f t="shared" si="0"/>
        <v/>
      </c>
      <c r="G15" s="889"/>
      <c r="H15" s="122" t="str">
        <f t="shared" si="1"/>
        <v/>
      </c>
      <c r="I15" s="123" t="str">
        <f t="shared" si="2"/>
        <v/>
      </c>
      <c r="J15" s="890"/>
      <c r="K15" s="122" t="str">
        <f t="shared" si="3"/>
        <v/>
      </c>
      <c r="L15" s="123" t="str">
        <f t="shared" si="4"/>
        <v/>
      </c>
      <c r="M15" s="124">
        <f t="shared" si="5"/>
        <v>0</v>
      </c>
      <c r="N15" s="124">
        <f t="shared" si="6"/>
        <v>0</v>
      </c>
      <c r="O15" s="1594"/>
    </row>
    <row r="16" spans="1:95" ht="21" customHeight="1" x14ac:dyDescent="0.2">
      <c r="A16" s="1459"/>
      <c r="B16" s="1455"/>
      <c r="C16" s="254"/>
      <c r="D16" s="895" t="s">
        <v>196</v>
      </c>
      <c r="E16" s="896">
        <f>SUM(E12:E15)</f>
        <v>0</v>
      </c>
      <c r="F16" s="130" t="str">
        <f t="shared" si="0"/>
        <v/>
      </c>
      <c r="G16" s="897">
        <f>SUM(G12:G15)</f>
        <v>0</v>
      </c>
      <c r="H16" s="132" t="str">
        <f t="shared" si="1"/>
        <v/>
      </c>
      <c r="I16" s="133" t="str">
        <f t="shared" si="2"/>
        <v/>
      </c>
      <c r="J16" s="897">
        <f>SUM(J12:J15)</f>
        <v>0</v>
      </c>
      <c r="K16" s="132" t="str">
        <f t="shared" si="3"/>
        <v/>
      </c>
      <c r="L16" s="133" t="str">
        <f t="shared" si="4"/>
        <v/>
      </c>
      <c r="M16" s="134">
        <f t="shared" si="5"/>
        <v>0</v>
      </c>
      <c r="N16" s="134">
        <f t="shared" si="6"/>
        <v>0</v>
      </c>
      <c r="O16" s="1595"/>
    </row>
    <row r="17" spans="1:28" ht="15.75" customHeight="1" x14ac:dyDescent="0.2">
      <c r="A17" s="1459"/>
      <c r="B17" s="1455"/>
      <c r="C17" s="1472" t="s">
        <v>199</v>
      </c>
      <c r="D17" s="954"/>
      <c r="E17" s="893"/>
      <c r="F17" s="117" t="str">
        <f t="shared" si="0"/>
        <v/>
      </c>
      <c r="G17" s="888"/>
      <c r="H17" s="118" t="str">
        <f t="shared" si="1"/>
        <v/>
      </c>
      <c r="I17" s="119" t="str">
        <f t="shared" si="2"/>
        <v/>
      </c>
      <c r="J17" s="893"/>
      <c r="K17" s="118" t="str">
        <f t="shared" si="3"/>
        <v/>
      </c>
      <c r="L17" s="119" t="str">
        <f t="shared" si="4"/>
        <v/>
      </c>
      <c r="M17" s="120">
        <f t="shared" si="5"/>
        <v>0</v>
      </c>
      <c r="N17" s="120">
        <f t="shared" si="6"/>
        <v>0</v>
      </c>
      <c r="O17" s="1350"/>
    </row>
    <row r="18" spans="1:28" ht="15.75" customHeight="1" x14ac:dyDescent="0.2">
      <c r="A18" s="1459"/>
      <c r="B18" s="1455"/>
      <c r="C18" s="1452"/>
      <c r="D18" s="894"/>
      <c r="E18" s="890"/>
      <c r="F18" s="121" t="str">
        <f t="shared" si="0"/>
        <v/>
      </c>
      <c r="G18" s="889"/>
      <c r="H18" s="122" t="str">
        <f t="shared" si="1"/>
        <v/>
      </c>
      <c r="I18" s="123" t="str">
        <f>IF(E18*G18=0,"",G18/E18)</f>
        <v/>
      </c>
      <c r="J18" s="890"/>
      <c r="K18" s="122" t="str">
        <f t="shared" si="3"/>
        <v/>
      </c>
      <c r="L18" s="123" t="str">
        <f>IF(G18*J18=0,"",J18/G18)</f>
        <v/>
      </c>
      <c r="M18" s="124">
        <f>G18-E18</f>
        <v>0</v>
      </c>
      <c r="N18" s="124">
        <f>J18-G18</f>
        <v>0</v>
      </c>
      <c r="O18" s="1354"/>
      <c r="AB18" s="1342"/>
    </row>
    <row r="19" spans="1:28" ht="15.75" customHeight="1" x14ac:dyDescent="0.2">
      <c r="A19" s="1459"/>
      <c r="B19" s="1455"/>
      <c r="C19" s="1452"/>
      <c r="D19" s="894"/>
      <c r="E19" s="890"/>
      <c r="F19" s="121" t="str">
        <f t="shared" si="0"/>
        <v/>
      </c>
      <c r="G19" s="889"/>
      <c r="H19" s="122" t="str">
        <f t="shared" si="1"/>
        <v/>
      </c>
      <c r="I19" s="123" t="str">
        <f>IF(E19*G19=0,"",G19/E19)</f>
        <v/>
      </c>
      <c r="J19" s="890"/>
      <c r="K19" s="122" t="str">
        <f t="shared" si="3"/>
        <v/>
      </c>
      <c r="L19" s="123" t="str">
        <f>IF(G19*J19=0,"",J19/G19)</f>
        <v/>
      </c>
      <c r="M19" s="124">
        <f>G19-E19</f>
        <v>0</v>
      </c>
      <c r="N19" s="124">
        <f>J19-G19</f>
        <v>0</v>
      </c>
      <c r="O19" s="1354"/>
    </row>
    <row r="20" spans="1:28" ht="15.75" customHeight="1" x14ac:dyDescent="0.2">
      <c r="A20" s="1459"/>
      <c r="B20" s="1455"/>
      <c r="C20" s="1452"/>
      <c r="D20" s="894"/>
      <c r="E20" s="890"/>
      <c r="F20" s="121" t="str">
        <f t="shared" si="0"/>
        <v/>
      </c>
      <c r="G20" s="889"/>
      <c r="H20" s="122" t="str">
        <f t="shared" si="1"/>
        <v/>
      </c>
      <c r="I20" s="123" t="str">
        <f>IF(E20*G20=0,"",G20/E20)</f>
        <v/>
      </c>
      <c r="J20" s="890"/>
      <c r="K20" s="122" t="str">
        <f t="shared" si="3"/>
        <v/>
      </c>
      <c r="L20" s="123" t="str">
        <f>IF(G20*J20=0,"",J20/G20)</f>
        <v/>
      </c>
      <c r="M20" s="124">
        <f>G20-E20</f>
        <v>0</v>
      </c>
      <c r="N20" s="124">
        <f>J20-G20</f>
        <v>0</v>
      </c>
      <c r="O20" s="1354"/>
    </row>
    <row r="21" spans="1:28" ht="15.75" customHeight="1" x14ac:dyDescent="0.2">
      <c r="A21" s="1459"/>
      <c r="B21" s="1455"/>
      <c r="C21" s="1452"/>
      <c r="D21" s="894"/>
      <c r="E21" s="890"/>
      <c r="F21" s="121" t="str">
        <f t="shared" si="0"/>
        <v/>
      </c>
      <c r="G21" s="889"/>
      <c r="H21" s="122" t="str">
        <f t="shared" si="1"/>
        <v/>
      </c>
      <c r="I21" s="123" t="str">
        <f>IF(E21*G21=0,"",G21/E21)</f>
        <v/>
      </c>
      <c r="J21" s="890"/>
      <c r="K21" s="122" t="str">
        <f t="shared" si="3"/>
        <v/>
      </c>
      <c r="L21" s="123" t="str">
        <f>IF(G21*J21=0,"",J21/G21)</f>
        <v/>
      </c>
      <c r="M21" s="124">
        <f>G21-E21</f>
        <v>0</v>
      </c>
      <c r="N21" s="124">
        <f>J21-G21</f>
        <v>0</v>
      </c>
      <c r="O21" s="1354"/>
    </row>
    <row r="22" spans="1:28" ht="15.75" customHeight="1" x14ac:dyDescent="0.2">
      <c r="A22" s="1459"/>
      <c r="B22" s="1455"/>
      <c r="C22" s="1452"/>
      <c r="D22" s="894"/>
      <c r="E22" s="890"/>
      <c r="F22" s="121" t="str">
        <f t="shared" si="0"/>
        <v/>
      </c>
      <c r="G22" s="889"/>
      <c r="H22" s="122" t="str">
        <f t="shared" si="1"/>
        <v/>
      </c>
      <c r="I22" s="123" t="str">
        <f t="shared" si="2"/>
        <v/>
      </c>
      <c r="J22" s="890"/>
      <c r="K22" s="122" t="str">
        <f t="shared" si="3"/>
        <v/>
      </c>
      <c r="L22" s="123" t="str">
        <f t="shared" si="4"/>
        <v/>
      </c>
      <c r="M22" s="124">
        <f t="shared" si="5"/>
        <v>0</v>
      </c>
      <c r="N22" s="124">
        <f t="shared" si="6"/>
        <v>0</v>
      </c>
      <c r="O22" s="1354"/>
    </row>
    <row r="23" spans="1:28" ht="15.75" customHeight="1" x14ac:dyDescent="0.2">
      <c r="A23" s="1459"/>
      <c r="B23" s="1455"/>
      <c r="C23" s="1452"/>
      <c r="D23" s="889"/>
      <c r="E23" s="890"/>
      <c r="F23" s="121" t="str">
        <f t="shared" si="0"/>
        <v/>
      </c>
      <c r="G23" s="889"/>
      <c r="H23" s="122" t="str">
        <f t="shared" si="1"/>
        <v/>
      </c>
      <c r="I23" s="123" t="str">
        <f t="shared" si="2"/>
        <v/>
      </c>
      <c r="J23" s="890"/>
      <c r="K23" s="122" t="str">
        <f t="shared" si="3"/>
        <v/>
      </c>
      <c r="L23" s="123" t="str">
        <f t="shared" si="4"/>
        <v/>
      </c>
      <c r="M23" s="124">
        <f t="shared" si="5"/>
        <v>0</v>
      </c>
      <c r="N23" s="124">
        <f t="shared" si="6"/>
        <v>0</v>
      </c>
      <c r="O23" s="1354"/>
    </row>
    <row r="24" spans="1:28" ht="15.75" customHeight="1" x14ac:dyDescent="0.2">
      <c r="A24" s="1459"/>
      <c r="B24" s="1455"/>
      <c r="C24" s="1452"/>
      <c r="D24" s="894"/>
      <c r="E24" s="890"/>
      <c r="F24" s="121" t="str">
        <f t="shared" si="0"/>
        <v/>
      </c>
      <c r="G24" s="889"/>
      <c r="H24" s="122" t="str">
        <f t="shared" si="1"/>
        <v/>
      </c>
      <c r="I24" s="123" t="str">
        <f t="shared" si="2"/>
        <v/>
      </c>
      <c r="J24" s="890"/>
      <c r="K24" s="122" t="str">
        <f t="shared" si="3"/>
        <v/>
      </c>
      <c r="L24" s="123" t="str">
        <f t="shared" si="4"/>
        <v/>
      </c>
      <c r="M24" s="124">
        <f t="shared" si="5"/>
        <v>0</v>
      </c>
      <c r="N24" s="124">
        <f t="shared" si="6"/>
        <v>0</v>
      </c>
      <c r="O24" s="1354"/>
      <c r="AB24" s="1342"/>
    </row>
    <row r="25" spans="1:28" ht="15.75" customHeight="1" x14ac:dyDescent="0.2">
      <c r="A25" s="1459"/>
      <c r="B25" s="1455"/>
      <c r="C25" s="1452"/>
      <c r="D25" s="135" t="s">
        <v>20</v>
      </c>
      <c r="E25" s="890">
        <v>0</v>
      </c>
      <c r="F25" s="121" t="str">
        <f t="shared" si="0"/>
        <v/>
      </c>
      <c r="G25" s="889"/>
      <c r="H25" s="122" t="str">
        <f t="shared" si="1"/>
        <v/>
      </c>
      <c r="I25" s="123" t="str">
        <f>IF(E25*G25=0,"",G25/E25)</f>
        <v/>
      </c>
      <c r="J25" s="890"/>
      <c r="K25" s="122" t="str">
        <f t="shared" si="3"/>
        <v/>
      </c>
      <c r="L25" s="123" t="str">
        <f>IF(G25*J25=0,"",J25/G25)</f>
        <v/>
      </c>
      <c r="M25" s="124">
        <f>G25-E25</f>
        <v>0</v>
      </c>
      <c r="N25" s="124">
        <f>J25-G25</f>
        <v>0</v>
      </c>
      <c r="O25" s="1354"/>
    </row>
    <row r="26" spans="1:28" ht="15.75" customHeight="1" x14ac:dyDescent="0.2">
      <c r="A26" s="1459"/>
      <c r="B26" s="1455"/>
      <c r="C26" s="1452"/>
      <c r="D26" s="903"/>
      <c r="E26" s="891"/>
      <c r="F26" s="126" t="str">
        <f t="shared" si="0"/>
        <v/>
      </c>
      <c r="G26" s="892"/>
      <c r="H26" s="127" t="str">
        <f t="shared" si="1"/>
        <v/>
      </c>
      <c r="I26" s="128" t="str">
        <f>IF(E26*G26=0,"",G26/E26)</f>
        <v/>
      </c>
      <c r="J26" s="891"/>
      <c r="K26" s="127" t="str">
        <f t="shared" si="3"/>
        <v/>
      </c>
      <c r="L26" s="128" t="str">
        <f>IF(G26*J26=0,"",J26/G26)</f>
        <v/>
      </c>
      <c r="M26" s="129">
        <f>G26-E26</f>
        <v>0</v>
      </c>
      <c r="N26" s="129">
        <f>J26-G26</f>
        <v>0</v>
      </c>
      <c r="O26" s="1352"/>
    </row>
    <row r="27" spans="1:28" ht="21" customHeight="1" thickBot="1" x14ac:dyDescent="0.25">
      <c r="A27" s="1459"/>
      <c r="B27" s="1456"/>
      <c r="C27" s="259"/>
      <c r="D27" s="898" t="s">
        <v>196</v>
      </c>
      <c r="E27" s="899">
        <f>SUM(E17:E26)</f>
        <v>0</v>
      </c>
      <c r="F27" s="136" t="str">
        <f t="shared" si="0"/>
        <v/>
      </c>
      <c r="G27" s="665">
        <f>SUM(G17:G26)</f>
        <v>0</v>
      </c>
      <c r="H27" s="138" t="str">
        <f t="shared" si="1"/>
        <v/>
      </c>
      <c r="I27" s="139" t="str">
        <f t="shared" si="2"/>
        <v/>
      </c>
      <c r="J27" s="665">
        <f>SUM(J17:J26)</f>
        <v>0</v>
      </c>
      <c r="K27" s="138" t="str">
        <f t="shared" si="3"/>
        <v/>
      </c>
      <c r="L27" s="139" t="str">
        <f t="shared" si="4"/>
        <v/>
      </c>
      <c r="M27" s="140">
        <f t="shared" si="5"/>
        <v>0</v>
      </c>
      <c r="N27" s="140">
        <f t="shared" si="6"/>
        <v>0</v>
      </c>
      <c r="O27" s="1355"/>
    </row>
    <row r="28" spans="1:28" ht="21" customHeight="1" thickBot="1" x14ac:dyDescent="0.25">
      <c r="A28" s="1459"/>
      <c r="B28" s="1464" t="s">
        <v>472</v>
      </c>
      <c r="C28" s="1465"/>
      <c r="D28" s="1466"/>
      <c r="E28" s="900">
        <f>E11+E16+E27</f>
        <v>0</v>
      </c>
      <c r="F28" s="141" t="str">
        <f t="shared" si="0"/>
        <v/>
      </c>
      <c r="G28" s="901">
        <f>G11+G16+G27</f>
        <v>0</v>
      </c>
      <c r="H28" s="142" t="str">
        <f t="shared" si="1"/>
        <v/>
      </c>
      <c r="I28" s="143" t="str">
        <f t="shared" si="2"/>
        <v/>
      </c>
      <c r="J28" s="901">
        <f>J11+J16+J27</f>
        <v>0</v>
      </c>
      <c r="K28" s="142" t="str">
        <f t="shared" si="3"/>
        <v/>
      </c>
      <c r="L28" s="143" t="str">
        <f t="shared" si="4"/>
        <v/>
      </c>
      <c r="M28" s="144">
        <f t="shared" si="5"/>
        <v>0</v>
      </c>
      <c r="N28" s="144">
        <f t="shared" si="6"/>
        <v>0</v>
      </c>
      <c r="O28" s="1356"/>
    </row>
    <row r="29" spans="1:28" ht="15.75" customHeight="1" x14ac:dyDescent="0.2">
      <c r="A29" s="1459"/>
      <c r="B29" s="1454" t="s">
        <v>195</v>
      </c>
      <c r="C29" s="1451" t="s">
        <v>160</v>
      </c>
      <c r="D29" s="1318" t="s">
        <v>495</v>
      </c>
      <c r="E29" s="902"/>
      <c r="F29" s="146" t="str">
        <f t="shared" si="0"/>
        <v/>
      </c>
      <c r="G29" s="914"/>
      <c r="H29" s="147" t="str">
        <f t="shared" si="1"/>
        <v/>
      </c>
      <c r="I29" s="148" t="str">
        <f t="shared" si="2"/>
        <v/>
      </c>
      <c r="J29" s="902"/>
      <c r="K29" s="147" t="str">
        <f t="shared" si="3"/>
        <v/>
      </c>
      <c r="L29" s="148" t="str">
        <f t="shared" si="4"/>
        <v/>
      </c>
      <c r="M29" s="149">
        <f t="shared" si="5"/>
        <v>0</v>
      </c>
      <c r="N29" s="149">
        <f t="shared" si="6"/>
        <v>0</v>
      </c>
      <c r="O29" s="1395"/>
    </row>
    <row r="30" spans="1:28" ht="15.75" customHeight="1" x14ac:dyDescent="0.2">
      <c r="A30" s="1459"/>
      <c r="B30" s="1455"/>
      <c r="C30" s="1452"/>
      <c r="D30" s="953" t="s">
        <v>496</v>
      </c>
      <c r="E30" s="890"/>
      <c r="F30" s="121" t="str">
        <f t="shared" si="0"/>
        <v/>
      </c>
      <c r="G30" s="889"/>
      <c r="H30" s="122" t="str">
        <f t="shared" si="1"/>
        <v/>
      </c>
      <c r="I30" s="123" t="str">
        <f t="shared" si="2"/>
        <v/>
      </c>
      <c r="J30" s="890"/>
      <c r="K30" s="122" t="str">
        <f t="shared" si="3"/>
        <v/>
      </c>
      <c r="L30" s="123" t="str">
        <f t="shared" si="4"/>
        <v/>
      </c>
      <c r="M30" s="124">
        <f t="shared" si="5"/>
        <v>0</v>
      </c>
      <c r="N30" s="124">
        <f t="shared" si="6"/>
        <v>0</v>
      </c>
      <c r="O30" s="1354"/>
    </row>
    <row r="31" spans="1:28" ht="15.75" customHeight="1" x14ac:dyDescent="0.2">
      <c r="A31" s="1459"/>
      <c r="B31" s="1455"/>
      <c r="C31" s="1452"/>
      <c r="D31" s="1319" t="s">
        <v>497</v>
      </c>
      <c r="E31" s="915"/>
      <c r="F31" s="121" t="str">
        <f t="shared" si="0"/>
        <v/>
      </c>
      <c r="G31" s="889"/>
      <c r="H31" s="122" t="str">
        <f t="shared" si="1"/>
        <v/>
      </c>
      <c r="I31" s="123" t="str">
        <f t="shared" si="2"/>
        <v/>
      </c>
      <c r="J31" s="890"/>
      <c r="K31" s="122" t="str">
        <f t="shared" si="3"/>
        <v/>
      </c>
      <c r="L31" s="123" t="str">
        <f t="shared" si="4"/>
        <v/>
      </c>
      <c r="M31" s="124">
        <f t="shared" si="5"/>
        <v>0</v>
      </c>
      <c r="N31" s="124">
        <f t="shared" si="6"/>
        <v>0</v>
      </c>
      <c r="O31" s="1354"/>
    </row>
    <row r="32" spans="1:28" ht="15.75" customHeight="1" x14ac:dyDescent="0.2">
      <c r="A32" s="1459"/>
      <c r="B32" s="1455"/>
      <c r="C32" s="1452"/>
      <c r="D32" s="953" t="s">
        <v>498</v>
      </c>
      <c r="E32" s="890"/>
      <c r="F32" s="121" t="str">
        <f t="shared" si="0"/>
        <v/>
      </c>
      <c r="G32" s="889"/>
      <c r="H32" s="122" t="str">
        <f t="shared" si="1"/>
        <v/>
      </c>
      <c r="I32" s="123" t="str">
        <f t="shared" si="2"/>
        <v/>
      </c>
      <c r="J32" s="890"/>
      <c r="K32" s="122" t="str">
        <f t="shared" si="3"/>
        <v/>
      </c>
      <c r="L32" s="123" t="str">
        <f t="shared" si="4"/>
        <v/>
      </c>
      <c r="M32" s="124">
        <f t="shared" si="5"/>
        <v>0</v>
      </c>
      <c r="N32" s="124">
        <f t="shared" si="6"/>
        <v>0</v>
      </c>
      <c r="O32" s="1354"/>
    </row>
    <row r="33" spans="1:28" ht="15.75" customHeight="1" x14ac:dyDescent="0.2">
      <c r="A33" s="1459"/>
      <c r="B33" s="1455"/>
      <c r="C33" s="1452"/>
      <c r="D33" s="953" t="s">
        <v>499</v>
      </c>
      <c r="E33" s="890"/>
      <c r="F33" s="121" t="str">
        <f t="shared" si="0"/>
        <v/>
      </c>
      <c r="G33" s="889"/>
      <c r="H33" s="122" t="str">
        <f t="shared" si="1"/>
        <v/>
      </c>
      <c r="I33" s="123" t="str">
        <f t="shared" si="2"/>
        <v/>
      </c>
      <c r="J33" s="890"/>
      <c r="K33" s="122" t="str">
        <f t="shared" si="3"/>
        <v/>
      </c>
      <c r="L33" s="123" t="str">
        <f t="shared" si="4"/>
        <v/>
      </c>
      <c r="M33" s="124">
        <f t="shared" si="5"/>
        <v>0</v>
      </c>
      <c r="N33" s="124">
        <f t="shared" si="6"/>
        <v>0</v>
      </c>
      <c r="O33" s="1354"/>
    </row>
    <row r="34" spans="1:28" ht="15.75" customHeight="1" x14ac:dyDescent="0.2">
      <c r="A34" s="1459"/>
      <c r="B34" s="1455"/>
      <c r="C34" s="1452"/>
      <c r="D34" s="1319" t="s">
        <v>500</v>
      </c>
      <c r="E34" s="890"/>
      <c r="F34" s="121" t="str">
        <f t="shared" si="0"/>
        <v/>
      </c>
      <c r="G34" s="889"/>
      <c r="H34" s="122" t="str">
        <f t="shared" si="1"/>
        <v/>
      </c>
      <c r="I34" s="123" t="str">
        <f t="shared" si="2"/>
        <v/>
      </c>
      <c r="J34" s="890"/>
      <c r="K34" s="122" t="str">
        <f t="shared" si="3"/>
        <v/>
      </c>
      <c r="L34" s="123" t="str">
        <f t="shared" ref="L34:L64" si="7">IF(G34*J34=0,"",J34/G34)</f>
        <v/>
      </c>
      <c r="M34" s="124">
        <f t="shared" ref="M34:M64" si="8">G34-E34</f>
        <v>0</v>
      </c>
      <c r="N34" s="124">
        <f t="shared" ref="N34:N64" si="9">J34-G34</f>
        <v>0</v>
      </c>
      <c r="O34" s="1396"/>
    </row>
    <row r="35" spans="1:28" ht="15.75" customHeight="1" x14ac:dyDescent="0.2">
      <c r="A35" s="1459"/>
      <c r="B35" s="1455"/>
      <c r="C35" s="1452"/>
      <c r="D35" s="953" t="s">
        <v>778</v>
      </c>
      <c r="E35" s="890"/>
      <c r="F35" s="121" t="str">
        <f t="shared" si="0"/>
        <v/>
      </c>
      <c r="G35" s="889"/>
      <c r="H35" s="122" t="str">
        <f t="shared" si="1"/>
        <v/>
      </c>
      <c r="I35" s="123" t="str">
        <f t="shared" si="2"/>
        <v/>
      </c>
      <c r="J35" s="890"/>
      <c r="K35" s="122" t="str">
        <f t="shared" si="3"/>
        <v/>
      </c>
      <c r="L35" s="123" t="str">
        <f t="shared" si="7"/>
        <v/>
      </c>
      <c r="M35" s="124">
        <f>G35-E35</f>
        <v>0</v>
      </c>
      <c r="N35" s="124">
        <f t="shared" si="9"/>
        <v>0</v>
      </c>
      <c r="O35" s="1354"/>
      <c r="AB35" s="1342"/>
    </row>
    <row r="36" spans="1:28" ht="15.75" customHeight="1" x14ac:dyDescent="0.2">
      <c r="A36" s="1459"/>
      <c r="B36" s="1455"/>
      <c r="C36" s="1452"/>
      <c r="D36" s="903" t="s">
        <v>771</v>
      </c>
      <c r="E36" s="891"/>
      <c r="F36" s="126" t="str">
        <f t="shared" si="0"/>
        <v/>
      </c>
      <c r="G36" s="892"/>
      <c r="H36" s="127" t="str">
        <f t="shared" si="1"/>
        <v/>
      </c>
      <c r="I36" s="128" t="str">
        <f t="shared" si="2"/>
        <v/>
      </c>
      <c r="J36" s="891"/>
      <c r="K36" s="127" t="str">
        <f t="shared" si="3"/>
        <v/>
      </c>
      <c r="L36" s="128" t="str">
        <f t="shared" si="7"/>
        <v/>
      </c>
      <c r="M36" s="129">
        <f t="shared" si="8"/>
        <v>0</v>
      </c>
      <c r="N36" s="129">
        <f t="shared" si="9"/>
        <v>0</v>
      </c>
      <c r="O36" s="1352"/>
    </row>
    <row r="37" spans="1:28" ht="21" customHeight="1" x14ac:dyDescent="0.2">
      <c r="A37" s="1459"/>
      <c r="B37" s="1455"/>
      <c r="C37" s="254"/>
      <c r="D37" s="895" t="s">
        <v>196</v>
      </c>
      <c r="E37" s="896">
        <f>SUM(E29:E36)</f>
        <v>0</v>
      </c>
      <c r="F37" s="130" t="str">
        <f t="shared" si="0"/>
        <v/>
      </c>
      <c r="G37" s="897">
        <f>SUM(G29:G36)</f>
        <v>0</v>
      </c>
      <c r="H37" s="132" t="str">
        <f t="shared" si="1"/>
        <v/>
      </c>
      <c r="I37" s="133" t="str">
        <f t="shared" si="2"/>
        <v/>
      </c>
      <c r="J37" s="897">
        <f>SUM(J29:J36)</f>
        <v>0</v>
      </c>
      <c r="K37" s="132" t="str">
        <f t="shared" si="3"/>
        <v/>
      </c>
      <c r="L37" s="133" t="str">
        <f t="shared" si="7"/>
        <v/>
      </c>
      <c r="M37" s="134">
        <f t="shared" si="8"/>
        <v>0</v>
      </c>
      <c r="N37" s="134">
        <f t="shared" si="9"/>
        <v>0</v>
      </c>
      <c r="O37" s="1353"/>
    </row>
    <row r="38" spans="1:28" ht="21" customHeight="1" x14ac:dyDescent="0.2">
      <c r="A38" s="1459"/>
      <c r="B38" s="1455"/>
      <c r="C38" s="1445" t="s">
        <v>473</v>
      </c>
      <c r="D38" s="1446"/>
      <c r="E38" s="904"/>
      <c r="F38" s="130" t="str">
        <f t="shared" si="0"/>
        <v/>
      </c>
      <c r="G38" s="905"/>
      <c r="H38" s="132" t="str">
        <f t="shared" si="1"/>
        <v/>
      </c>
      <c r="I38" s="133" t="str">
        <f t="shared" si="2"/>
        <v/>
      </c>
      <c r="J38" s="905"/>
      <c r="K38" s="132" t="str">
        <f t="shared" si="3"/>
        <v/>
      </c>
      <c r="L38" s="133" t="str">
        <f t="shared" si="7"/>
        <v/>
      </c>
      <c r="M38" s="134">
        <f t="shared" si="8"/>
        <v>0</v>
      </c>
      <c r="N38" s="134">
        <f t="shared" si="9"/>
        <v>0</v>
      </c>
      <c r="O38" s="1330"/>
    </row>
    <row r="39" spans="1:28" ht="15.75" customHeight="1" x14ac:dyDescent="0.2">
      <c r="A39" s="1459"/>
      <c r="B39" s="1455"/>
      <c r="C39" s="1453" t="s">
        <v>203</v>
      </c>
      <c r="D39" s="954" t="s">
        <v>742</v>
      </c>
      <c r="E39" s="893"/>
      <c r="F39" s="117" t="str">
        <f t="shared" si="0"/>
        <v/>
      </c>
      <c r="G39" s="888"/>
      <c r="H39" s="118" t="str">
        <f t="shared" si="1"/>
        <v/>
      </c>
      <c r="I39" s="119" t="str">
        <f t="shared" si="2"/>
        <v/>
      </c>
      <c r="J39" s="888"/>
      <c r="K39" s="118" t="str">
        <f t="shared" si="3"/>
        <v/>
      </c>
      <c r="L39" s="119" t="str">
        <f t="shared" si="7"/>
        <v/>
      </c>
      <c r="M39" s="120">
        <f t="shared" si="8"/>
        <v>0</v>
      </c>
      <c r="N39" s="120">
        <f t="shared" si="9"/>
        <v>0</v>
      </c>
      <c r="O39" s="1350"/>
      <c r="AB39" s="1342"/>
    </row>
    <row r="40" spans="1:28" ht="15.75" customHeight="1" x14ac:dyDescent="0.2">
      <c r="A40" s="1459"/>
      <c r="B40" s="1455"/>
      <c r="C40" s="1452"/>
      <c r="D40" s="894" t="s">
        <v>743</v>
      </c>
      <c r="E40" s="890"/>
      <c r="F40" s="121" t="str">
        <f t="shared" si="0"/>
        <v/>
      </c>
      <c r="G40" s="889"/>
      <c r="H40" s="122" t="str">
        <f t="shared" si="1"/>
        <v/>
      </c>
      <c r="I40" s="123" t="str">
        <f t="shared" si="2"/>
        <v/>
      </c>
      <c r="J40" s="889"/>
      <c r="K40" s="122" t="str">
        <f t="shared" si="3"/>
        <v/>
      </c>
      <c r="L40" s="123" t="str">
        <f t="shared" si="7"/>
        <v/>
      </c>
      <c r="M40" s="124">
        <f t="shared" si="8"/>
        <v>0</v>
      </c>
      <c r="N40" s="124">
        <f t="shared" si="9"/>
        <v>0</v>
      </c>
      <c r="O40" s="1354"/>
    </row>
    <row r="41" spans="1:28" ht="15.75" customHeight="1" x14ac:dyDescent="0.2">
      <c r="A41" s="1459"/>
      <c r="B41" s="1455"/>
      <c r="C41" s="1452"/>
      <c r="D41" s="894" t="s">
        <v>774</v>
      </c>
      <c r="E41" s="890"/>
      <c r="F41" s="121" t="str">
        <f t="shared" si="0"/>
        <v/>
      </c>
      <c r="G41" s="889"/>
      <c r="H41" s="122" t="str">
        <f t="shared" si="1"/>
        <v/>
      </c>
      <c r="I41" s="123" t="str">
        <f>IF(E41*G41=0,"",G41/E41)</f>
        <v/>
      </c>
      <c r="J41" s="889"/>
      <c r="K41" s="122" t="str">
        <f t="shared" si="3"/>
        <v/>
      </c>
      <c r="L41" s="123" t="str">
        <f>IF(G41*J41=0,"",J41/G41)</f>
        <v/>
      </c>
      <c r="M41" s="124">
        <f>G41-E41</f>
        <v>0</v>
      </c>
      <c r="N41" s="124">
        <f>J41-G41</f>
        <v>0</v>
      </c>
      <c r="O41" s="1354"/>
    </row>
    <row r="42" spans="1:28" ht="15.75" customHeight="1" x14ac:dyDescent="0.2">
      <c r="A42" s="1459"/>
      <c r="B42" s="1455"/>
      <c r="C42" s="1452"/>
      <c r="D42" s="894" t="s">
        <v>744</v>
      </c>
      <c r="E42" s="890"/>
      <c r="F42" s="121" t="str">
        <f t="shared" si="0"/>
        <v/>
      </c>
      <c r="G42" s="889"/>
      <c r="H42" s="122" t="str">
        <f t="shared" si="1"/>
        <v/>
      </c>
      <c r="I42" s="123" t="str">
        <f t="shared" si="2"/>
        <v/>
      </c>
      <c r="J42" s="889"/>
      <c r="K42" s="122" t="str">
        <f t="shared" si="3"/>
        <v/>
      </c>
      <c r="L42" s="123" t="str">
        <f t="shared" si="7"/>
        <v/>
      </c>
      <c r="M42" s="124">
        <f t="shared" si="8"/>
        <v>0</v>
      </c>
      <c r="N42" s="124">
        <f t="shared" si="9"/>
        <v>0</v>
      </c>
      <c r="O42" s="1354"/>
    </row>
    <row r="43" spans="1:28" ht="15.75" customHeight="1" x14ac:dyDescent="0.2">
      <c r="A43" s="1459"/>
      <c r="B43" s="1455"/>
      <c r="C43" s="1452"/>
      <c r="D43" s="1317" t="s">
        <v>745</v>
      </c>
      <c r="E43" s="890"/>
      <c r="F43" s="121" t="str">
        <f t="shared" si="0"/>
        <v/>
      </c>
      <c r="G43" s="889"/>
      <c r="H43" s="122" t="str">
        <f t="shared" si="1"/>
        <v/>
      </c>
      <c r="I43" s="123" t="str">
        <f>IF(E43*G43=0,"",G43/E43)</f>
        <v/>
      </c>
      <c r="J43" s="894"/>
      <c r="K43" s="122" t="str">
        <f t="shared" si="3"/>
        <v/>
      </c>
      <c r="L43" s="123" t="str">
        <f>IF(G43*J43=0,"",J43/G43)</f>
        <v/>
      </c>
      <c r="M43" s="124">
        <f>G43-E43</f>
        <v>0</v>
      </c>
      <c r="N43" s="124">
        <f>J43-G43</f>
        <v>0</v>
      </c>
      <c r="O43" s="1329"/>
    </row>
    <row r="44" spans="1:28" ht="15.75" customHeight="1" x14ac:dyDescent="0.2">
      <c r="A44" s="1459"/>
      <c r="B44" s="1455"/>
      <c r="C44" s="1452"/>
      <c r="D44" s="1317" t="s">
        <v>746</v>
      </c>
      <c r="E44" s="890"/>
      <c r="F44" s="121" t="str">
        <f t="shared" si="0"/>
        <v/>
      </c>
      <c r="G44" s="889"/>
      <c r="H44" s="122" t="str">
        <f t="shared" si="1"/>
        <v/>
      </c>
      <c r="I44" s="123" t="str">
        <f t="shared" si="2"/>
        <v/>
      </c>
      <c r="J44" s="889"/>
      <c r="K44" s="122" t="str">
        <f t="shared" si="3"/>
        <v/>
      </c>
      <c r="L44" s="123" t="str">
        <f t="shared" si="7"/>
        <v/>
      </c>
      <c r="M44" s="124">
        <f t="shared" si="8"/>
        <v>0</v>
      </c>
      <c r="N44" s="124">
        <f t="shared" si="9"/>
        <v>0</v>
      </c>
      <c r="O44" s="1404"/>
    </row>
    <row r="45" spans="1:28" ht="15.75" customHeight="1" x14ac:dyDescent="0.2">
      <c r="A45" s="1459"/>
      <c r="B45" s="1455"/>
      <c r="C45" s="1452"/>
      <c r="D45" s="886" t="s">
        <v>20</v>
      </c>
      <c r="E45" s="890"/>
      <c r="F45" s="121" t="str">
        <f t="shared" si="0"/>
        <v/>
      </c>
      <c r="G45" s="889"/>
      <c r="H45" s="122" t="str">
        <f t="shared" si="1"/>
        <v/>
      </c>
      <c r="I45" s="123" t="str">
        <f t="shared" si="2"/>
        <v/>
      </c>
      <c r="J45" s="889"/>
      <c r="K45" s="122" t="str">
        <f t="shared" si="3"/>
        <v/>
      </c>
      <c r="L45" s="123" t="str">
        <f>IF(G45*J45=0,"",J45/G45)</f>
        <v/>
      </c>
      <c r="M45" s="124">
        <f>G45-E45</f>
        <v>0</v>
      </c>
      <c r="N45" s="124">
        <f>J45-G45</f>
        <v>0</v>
      </c>
      <c r="O45" s="1354"/>
    </row>
    <row r="46" spans="1:28" ht="15.75" customHeight="1" x14ac:dyDescent="0.2">
      <c r="A46" s="1459"/>
      <c r="B46" s="1455"/>
      <c r="C46" s="1452"/>
      <c r="D46" s="1320" t="s">
        <v>747</v>
      </c>
      <c r="E46" s="891"/>
      <c r="F46" s="126" t="str">
        <f t="shared" si="0"/>
        <v/>
      </c>
      <c r="G46" s="892"/>
      <c r="H46" s="127" t="str">
        <f t="shared" si="1"/>
        <v/>
      </c>
      <c r="I46" s="128" t="str">
        <f t="shared" si="2"/>
        <v/>
      </c>
      <c r="J46" s="892"/>
      <c r="K46" s="127" t="str">
        <f t="shared" si="3"/>
        <v/>
      </c>
      <c r="L46" s="128" t="str">
        <f t="shared" si="7"/>
        <v/>
      </c>
      <c r="M46" s="129">
        <f t="shared" si="8"/>
        <v>0</v>
      </c>
      <c r="N46" s="129">
        <f t="shared" si="9"/>
        <v>0</v>
      </c>
      <c r="O46" s="1397"/>
    </row>
    <row r="47" spans="1:28" ht="21" customHeight="1" x14ac:dyDescent="0.2">
      <c r="A47" s="1459"/>
      <c r="B47" s="1455"/>
      <c r="C47" s="254"/>
      <c r="D47" s="895" t="s">
        <v>196</v>
      </c>
      <c r="E47" s="896">
        <f>SUM(E39:E46)</f>
        <v>0</v>
      </c>
      <c r="F47" s="130" t="str">
        <f t="shared" si="0"/>
        <v/>
      </c>
      <c r="G47" s="897">
        <f>SUM(G39:G46)</f>
        <v>0</v>
      </c>
      <c r="H47" s="132" t="str">
        <f t="shared" si="1"/>
        <v/>
      </c>
      <c r="I47" s="133" t="str">
        <f t="shared" si="2"/>
        <v/>
      </c>
      <c r="J47" s="897">
        <f>SUM(J39:J46)</f>
        <v>0</v>
      </c>
      <c r="K47" s="132" t="str">
        <f t="shared" si="3"/>
        <v/>
      </c>
      <c r="L47" s="133" t="str">
        <f t="shared" si="7"/>
        <v/>
      </c>
      <c r="M47" s="134">
        <f t="shared" si="8"/>
        <v>0</v>
      </c>
      <c r="N47" s="134">
        <f t="shared" si="9"/>
        <v>0</v>
      </c>
      <c r="O47" s="1353"/>
    </row>
    <row r="48" spans="1:28" ht="21" customHeight="1" thickBot="1" x14ac:dyDescent="0.25">
      <c r="A48" s="1459"/>
      <c r="B48" s="1456"/>
      <c r="C48" s="1447" t="s">
        <v>474</v>
      </c>
      <c r="D48" s="1448"/>
      <c r="E48" s="906"/>
      <c r="F48" s="136" t="str">
        <f t="shared" si="0"/>
        <v/>
      </c>
      <c r="G48" s="907"/>
      <c r="H48" s="138" t="str">
        <f t="shared" si="1"/>
        <v/>
      </c>
      <c r="I48" s="139" t="str">
        <f t="shared" si="2"/>
        <v/>
      </c>
      <c r="J48" s="907"/>
      <c r="K48" s="138" t="str">
        <f t="shared" si="3"/>
        <v/>
      </c>
      <c r="L48" s="139" t="str">
        <f t="shared" si="7"/>
        <v/>
      </c>
      <c r="M48" s="140">
        <f t="shared" si="8"/>
        <v>0</v>
      </c>
      <c r="N48" s="140">
        <f t="shared" si="9"/>
        <v>0</v>
      </c>
      <c r="O48" s="1355"/>
    </row>
    <row r="49" spans="1:28" ht="21" customHeight="1" thickBot="1" x14ac:dyDescent="0.25">
      <c r="A49" s="1460"/>
      <c r="B49" s="1464" t="s">
        <v>194</v>
      </c>
      <c r="C49" s="1465"/>
      <c r="D49" s="1466"/>
      <c r="E49" s="900">
        <f>E37+E38+E47+E48</f>
        <v>0</v>
      </c>
      <c r="F49" s="141" t="str">
        <f t="shared" si="0"/>
        <v/>
      </c>
      <c r="G49" s="901">
        <f>G37+G38+G47+G48</f>
        <v>0</v>
      </c>
      <c r="H49" s="142" t="str">
        <f t="shared" si="1"/>
        <v/>
      </c>
      <c r="I49" s="143" t="str">
        <f t="shared" si="2"/>
        <v/>
      </c>
      <c r="J49" s="901">
        <f>J37+J38+J47+J48</f>
        <v>0</v>
      </c>
      <c r="K49" s="142" t="str">
        <f t="shared" si="3"/>
        <v/>
      </c>
      <c r="L49" s="143" t="str">
        <f t="shared" si="7"/>
        <v/>
      </c>
      <c r="M49" s="144">
        <f t="shared" si="8"/>
        <v>0</v>
      </c>
      <c r="N49" s="144">
        <f t="shared" si="9"/>
        <v>0</v>
      </c>
      <c r="O49" s="1356"/>
    </row>
    <row r="50" spans="1:28" ht="21" customHeight="1" thickBot="1" x14ac:dyDescent="0.25">
      <c r="A50" s="1449" t="s">
        <v>202</v>
      </c>
      <c r="B50" s="1450"/>
      <c r="C50" s="1450"/>
      <c r="D50" s="1450"/>
      <c r="E50" s="150">
        <f>E28+E49</f>
        <v>0</v>
      </c>
      <c r="F50" s="151" t="e">
        <f>F28+F49</f>
        <v>#VALUE!</v>
      </c>
      <c r="G50" s="152">
        <f>G28+G49</f>
        <v>0</v>
      </c>
      <c r="H50" s="153" t="e">
        <f>H28+H49</f>
        <v>#VALUE!</v>
      </c>
      <c r="I50" s="154" t="str">
        <f t="shared" si="2"/>
        <v/>
      </c>
      <c r="J50" s="152">
        <f>J28+J49</f>
        <v>0</v>
      </c>
      <c r="K50" s="153" t="e">
        <f>K28+K49</f>
        <v>#VALUE!</v>
      </c>
      <c r="L50" s="154" t="str">
        <f t="shared" si="7"/>
        <v/>
      </c>
      <c r="M50" s="155">
        <f t="shared" si="8"/>
        <v>0</v>
      </c>
      <c r="N50" s="155">
        <f t="shared" si="9"/>
        <v>0</v>
      </c>
      <c r="O50" s="1357"/>
    </row>
    <row r="51" spans="1:28" ht="15.75" customHeight="1" thickTop="1" x14ac:dyDescent="0.2">
      <c r="A51" s="1477" t="s">
        <v>212</v>
      </c>
      <c r="B51" s="1423" t="s">
        <v>208</v>
      </c>
      <c r="C51" s="1424"/>
      <c r="D51" s="955" t="s">
        <v>501</v>
      </c>
      <c r="E51" s="909">
        <v>0</v>
      </c>
      <c r="F51" s="156" t="str">
        <f t="shared" ref="F51:F79" si="10">IF(E51=0,"",E51/E$80)</f>
        <v/>
      </c>
      <c r="G51" s="909"/>
      <c r="H51" s="156" t="str">
        <f t="shared" ref="H51:H79" si="11">IF(G51=0,"",G51/G$80)</f>
        <v/>
      </c>
      <c r="I51" s="157" t="str">
        <f t="shared" si="2"/>
        <v/>
      </c>
      <c r="J51" s="909"/>
      <c r="K51" s="156" t="str">
        <f t="shared" ref="K51:K79" si="12">IF(J51=0,"",J51/J$80)</f>
        <v/>
      </c>
      <c r="L51" s="158" t="str">
        <f t="shared" si="7"/>
        <v/>
      </c>
      <c r="M51" s="159">
        <f t="shared" si="8"/>
        <v>0</v>
      </c>
      <c r="N51" s="159">
        <f t="shared" si="9"/>
        <v>0</v>
      </c>
      <c r="O51" s="1358"/>
    </row>
    <row r="52" spans="1:28" ht="15.75" customHeight="1" x14ac:dyDescent="0.2">
      <c r="A52" s="1478"/>
      <c r="B52" s="1425"/>
      <c r="C52" s="1426"/>
      <c r="D52" s="953" t="s">
        <v>502</v>
      </c>
      <c r="E52" s="889"/>
      <c r="F52" s="122" t="str">
        <f t="shared" si="10"/>
        <v/>
      </c>
      <c r="G52" s="889"/>
      <c r="H52" s="122" t="str">
        <f t="shared" si="11"/>
        <v/>
      </c>
      <c r="I52" s="123" t="str">
        <f t="shared" si="2"/>
        <v/>
      </c>
      <c r="J52" s="889"/>
      <c r="K52" s="122" t="str">
        <f t="shared" si="12"/>
        <v/>
      </c>
      <c r="L52" s="160" t="str">
        <f t="shared" si="7"/>
        <v/>
      </c>
      <c r="M52" s="161">
        <f t="shared" si="8"/>
        <v>0</v>
      </c>
      <c r="N52" s="161">
        <f t="shared" si="9"/>
        <v>0</v>
      </c>
      <c r="O52" s="1331"/>
    </row>
    <row r="53" spans="1:28" ht="15.75" customHeight="1" x14ac:dyDescent="0.2">
      <c r="A53" s="1478"/>
      <c r="B53" s="1425"/>
      <c r="C53" s="1426"/>
      <c r="D53" s="1405" t="s">
        <v>503</v>
      </c>
      <c r="E53" s="889"/>
      <c r="F53" s="1406" t="str">
        <f t="shared" si="10"/>
        <v/>
      </c>
      <c r="G53" s="889"/>
      <c r="H53" s="1406" t="str">
        <f t="shared" si="11"/>
        <v/>
      </c>
      <c r="I53" s="1407" t="str">
        <f t="shared" si="2"/>
        <v/>
      </c>
      <c r="J53" s="889"/>
      <c r="K53" s="1406" t="str">
        <f t="shared" si="12"/>
        <v/>
      </c>
      <c r="L53" s="1408" t="str">
        <f t="shared" si="7"/>
        <v/>
      </c>
      <c r="M53" s="1409">
        <f t="shared" si="8"/>
        <v>0</v>
      </c>
      <c r="N53" s="1409">
        <f t="shared" si="9"/>
        <v>0</v>
      </c>
      <c r="O53" s="1331"/>
    </row>
    <row r="54" spans="1:28" ht="15.75" customHeight="1" x14ac:dyDescent="0.2">
      <c r="A54" s="1478"/>
      <c r="B54" s="1425"/>
      <c r="C54" s="1426"/>
      <c r="D54" s="894" t="s">
        <v>748</v>
      </c>
      <c r="E54" s="889"/>
      <c r="F54" s="122" t="str">
        <f t="shared" si="10"/>
        <v/>
      </c>
      <c r="G54" s="889"/>
      <c r="H54" s="122" t="str">
        <f t="shared" si="11"/>
        <v/>
      </c>
      <c r="I54" s="123" t="str">
        <f t="shared" si="2"/>
        <v/>
      </c>
      <c r="J54" s="889"/>
      <c r="K54" s="122" t="str">
        <f t="shared" si="12"/>
        <v/>
      </c>
      <c r="L54" s="160" t="str">
        <f t="shared" si="7"/>
        <v/>
      </c>
      <c r="M54" s="161">
        <f t="shared" si="8"/>
        <v>0</v>
      </c>
      <c r="N54" s="161">
        <f t="shared" si="9"/>
        <v>0</v>
      </c>
      <c r="O54" s="1331"/>
    </row>
    <row r="55" spans="1:28" ht="15.75" customHeight="1" x14ac:dyDescent="0.2">
      <c r="A55" s="1478"/>
      <c r="B55" s="1425"/>
      <c r="C55" s="1426"/>
      <c r="D55" s="894" t="s">
        <v>749</v>
      </c>
      <c r="E55" s="889"/>
      <c r="F55" s="122" t="str">
        <f t="shared" si="10"/>
        <v/>
      </c>
      <c r="G55" s="889"/>
      <c r="H55" s="122" t="str">
        <f t="shared" si="11"/>
        <v/>
      </c>
      <c r="I55" s="123" t="str">
        <f t="shared" si="2"/>
        <v/>
      </c>
      <c r="J55" s="889"/>
      <c r="K55" s="122" t="str">
        <f t="shared" si="12"/>
        <v/>
      </c>
      <c r="L55" s="160" t="str">
        <f t="shared" si="7"/>
        <v/>
      </c>
      <c r="M55" s="161">
        <f t="shared" si="8"/>
        <v>0</v>
      </c>
      <c r="N55" s="161">
        <f t="shared" si="9"/>
        <v>0</v>
      </c>
      <c r="O55" s="1331"/>
    </row>
    <row r="56" spans="1:28" ht="15.75" customHeight="1" x14ac:dyDescent="0.2">
      <c r="A56" s="1478"/>
      <c r="B56" s="1425"/>
      <c r="C56" s="1426"/>
      <c r="D56" s="894" t="s">
        <v>750</v>
      </c>
      <c r="E56" s="889"/>
      <c r="F56" s="122" t="str">
        <f t="shared" si="10"/>
        <v/>
      </c>
      <c r="G56" s="889"/>
      <c r="H56" s="122" t="str">
        <f t="shared" si="11"/>
        <v/>
      </c>
      <c r="I56" s="123" t="str">
        <f>IF(E56*G56=0,"",G56/E56)</f>
        <v/>
      </c>
      <c r="J56" s="889"/>
      <c r="K56" s="122" t="str">
        <f t="shared" si="12"/>
        <v/>
      </c>
      <c r="L56" s="160" t="str">
        <f>IF(G56*J56=0,"",J56/G56)</f>
        <v/>
      </c>
      <c r="M56" s="161">
        <f>G56-E56</f>
        <v>0</v>
      </c>
      <c r="N56" s="161">
        <f>J56-G56</f>
        <v>0</v>
      </c>
      <c r="O56" s="1331"/>
    </row>
    <row r="57" spans="1:28" ht="15.75" customHeight="1" x14ac:dyDescent="0.2">
      <c r="A57" s="1478"/>
      <c r="B57" s="1425"/>
      <c r="C57" s="1426"/>
      <c r="D57" s="894" t="s">
        <v>751</v>
      </c>
      <c r="E57" s="889"/>
      <c r="F57" s="122" t="str">
        <f t="shared" si="10"/>
        <v/>
      </c>
      <c r="G57" s="889"/>
      <c r="H57" s="122" t="str">
        <f t="shared" si="11"/>
        <v/>
      </c>
      <c r="I57" s="123" t="str">
        <f>IF(E57*G57=0,"",G57/E57)</f>
        <v/>
      </c>
      <c r="J57" s="894"/>
      <c r="K57" s="122" t="str">
        <f t="shared" si="12"/>
        <v/>
      </c>
      <c r="L57" s="160" t="str">
        <f>IF(G57*J57=0,"",J57/G57)</f>
        <v/>
      </c>
      <c r="M57" s="161">
        <f>G57-E57</f>
        <v>0</v>
      </c>
      <c r="N57" s="161">
        <f>J57-G57</f>
        <v>0</v>
      </c>
      <c r="O57" s="1331"/>
    </row>
    <row r="58" spans="1:28" ht="15.75" customHeight="1" x14ac:dyDescent="0.2">
      <c r="A58" s="1478"/>
      <c r="B58" s="1425"/>
      <c r="C58" s="1426"/>
      <c r="D58" s="886" t="s">
        <v>149</v>
      </c>
      <c r="E58" s="889"/>
      <c r="F58" s="122" t="str">
        <f t="shared" si="10"/>
        <v/>
      </c>
      <c r="G58" s="889"/>
      <c r="H58" s="122" t="str">
        <f t="shared" si="11"/>
        <v/>
      </c>
      <c r="I58" s="123" t="str">
        <f>IF(E58*G58=0,"",G58/E58)</f>
        <v/>
      </c>
      <c r="J58" s="889"/>
      <c r="K58" s="122" t="str">
        <f t="shared" si="12"/>
        <v/>
      </c>
      <c r="L58" s="160" t="str">
        <f>IF(G58*J58=0,"",J58/G58)</f>
        <v/>
      </c>
      <c r="M58" s="161">
        <f>G58-E58</f>
        <v>0</v>
      </c>
      <c r="N58" s="161">
        <f>J58-G58</f>
        <v>0</v>
      </c>
      <c r="O58" s="1331"/>
    </row>
    <row r="59" spans="1:28" ht="15.75" customHeight="1" x14ac:dyDescent="0.2">
      <c r="A59" s="1478"/>
      <c r="B59" s="1425"/>
      <c r="C59" s="1426"/>
      <c r="D59" s="953" t="s">
        <v>504</v>
      </c>
      <c r="E59" s="889"/>
      <c r="F59" s="122" t="str">
        <f t="shared" si="10"/>
        <v/>
      </c>
      <c r="G59" s="889"/>
      <c r="H59" s="122" t="str">
        <f t="shared" si="11"/>
        <v/>
      </c>
      <c r="I59" s="123" t="str">
        <f>IF(E59*G59=0,"",G59/E59)</f>
        <v/>
      </c>
      <c r="J59" s="889"/>
      <c r="K59" s="122" t="str">
        <f t="shared" si="12"/>
        <v/>
      </c>
      <c r="L59" s="160" t="str">
        <f>IF(G59*J59=0,"",J59/G59)</f>
        <v/>
      </c>
      <c r="M59" s="161">
        <f>G59-E59</f>
        <v>0</v>
      </c>
      <c r="N59" s="161">
        <f>J59-G59</f>
        <v>0</v>
      </c>
      <c r="O59" s="1331"/>
    </row>
    <row r="60" spans="1:28" ht="15.75" customHeight="1" thickBot="1" x14ac:dyDescent="0.25">
      <c r="A60" s="1478"/>
      <c r="B60" s="1427"/>
      <c r="C60" s="1428"/>
      <c r="D60" s="910" t="s">
        <v>775</v>
      </c>
      <c r="E60" s="911"/>
      <c r="F60" s="162" t="str">
        <f t="shared" si="10"/>
        <v/>
      </c>
      <c r="G60" s="911"/>
      <c r="H60" s="162" t="str">
        <f t="shared" si="11"/>
        <v/>
      </c>
      <c r="I60" s="163" t="str">
        <f t="shared" si="2"/>
        <v/>
      </c>
      <c r="J60" s="911"/>
      <c r="K60" s="162" t="str">
        <f t="shared" si="12"/>
        <v/>
      </c>
      <c r="L60" s="164" t="str">
        <f t="shared" si="7"/>
        <v/>
      </c>
      <c r="M60" s="165">
        <f t="shared" si="8"/>
        <v>0</v>
      </c>
      <c r="N60" s="165">
        <f t="shared" si="9"/>
        <v>0</v>
      </c>
      <c r="O60" s="1331"/>
    </row>
    <row r="61" spans="1:28" ht="21" customHeight="1" thickBot="1" x14ac:dyDescent="0.25">
      <c r="A61" s="1478"/>
      <c r="B61" s="1420" t="s">
        <v>209</v>
      </c>
      <c r="C61" s="1421"/>
      <c r="D61" s="1422"/>
      <c r="E61" s="166">
        <f>SUM(E51:E60)</f>
        <v>0</v>
      </c>
      <c r="F61" s="142" t="str">
        <f t="shared" si="10"/>
        <v/>
      </c>
      <c r="G61" s="166">
        <f>SUM(G51:G60)</f>
        <v>0</v>
      </c>
      <c r="H61" s="142" t="str">
        <f t="shared" si="11"/>
        <v/>
      </c>
      <c r="I61" s="143" t="str">
        <f t="shared" si="2"/>
        <v/>
      </c>
      <c r="J61" s="166">
        <f>SUM(J51:J60)</f>
        <v>0</v>
      </c>
      <c r="K61" s="142" t="str">
        <f t="shared" si="12"/>
        <v/>
      </c>
      <c r="L61" s="167" t="str">
        <f t="shared" si="7"/>
        <v/>
      </c>
      <c r="M61" s="168">
        <f t="shared" si="8"/>
        <v>0</v>
      </c>
      <c r="N61" s="168">
        <f t="shared" si="9"/>
        <v>0</v>
      </c>
      <c r="O61" s="1416"/>
      <c r="AB61" s="1342"/>
    </row>
    <row r="62" spans="1:28" ht="15.75" customHeight="1" x14ac:dyDescent="0.2">
      <c r="A62" s="1478"/>
      <c r="B62" s="1475" t="s">
        <v>211</v>
      </c>
      <c r="C62" s="1476"/>
      <c r="D62" s="1410" t="s">
        <v>31</v>
      </c>
      <c r="E62" s="912"/>
      <c r="F62" s="1411" t="str">
        <f t="shared" si="10"/>
        <v/>
      </c>
      <c r="G62" s="912"/>
      <c r="H62" s="1411" t="str">
        <f t="shared" si="11"/>
        <v/>
      </c>
      <c r="I62" s="1412" t="str">
        <f t="shared" si="2"/>
        <v/>
      </c>
      <c r="J62" s="912"/>
      <c r="K62" s="1411" t="str">
        <f t="shared" si="12"/>
        <v/>
      </c>
      <c r="L62" s="1413" t="str">
        <f t="shared" si="7"/>
        <v/>
      </c>
      <c r="M62" s="1414">
        <f t="shared" si="8"/>
        <v>0</v>
      </c>
      <c r="N62" s="1414">
        <f t="shared" si="9"/>
        <v>0</v>
      </c>
      <c r="O62" s="1331"/>
    </row>
    <row r="63" spans="1:28" ht="15.75" customHeight="1" x14ac:dyDescent="0.2">
      <c r="A63" s="1478"/>
      <c r="B63" s="1425"/>
      <c r="C63" s="1426"/>
      <c r="D63" s="1415" t="s">
        <v>505</v>
      </c>
      <c r="E63" s="889"/>
      <c r="F63" s="1406" t="str">
        <f t="shared" si="10"/>
        <v/>
      </c>
      <c r="G63" s="889"/>
      <c r="H63" s="1406" t="str">
        <f t="shared" si="11"/>
        <v/>
      </c>
      <c r="I63" s="1407" t="str">
        <f>IF(E63*G63=0,"",G63/E63)</f>
        <v/>
      </c>
      <c r="J63" s="889"/>
      <c r="K63" s="1406" t="str">
        <f t="shared" si="12"/>
        <v/>
      </c>
      <c r="L63" s="1408" t="str">
        <f>IF(G63*J63=0,"",J63/G63)</f>
        <v/>
      </c>
      <c r="M63" s="1409">
        <f>G63-E63</f>
        <v>0</v>
      </c>
      <c r="N63" s="1409">
        <f>J63-G63</f>
        <v>0</v>
      </c>
      <c r="O63" s="1331"/>
    </row>
    <row r="64" spans="1:28" ht="15.75" customHeight="1" x14ac:dyDescent="0.2">
      <c r="A64" s="1478"/>
      <c r="B64" s="1425"/>
      <c r="C64" s="1426"/>
      <c r="D64" s="953" t="s">
        <v>506</v>
      </c>
      <c r="E64" s="889"/>
      <c r="F64" s="122" t="str">
        <f t="shared" si="10"/>
        <v/>
      </c>
      <c r="G64" s="889"/>
      <c r="H64" s="122" t="str">
        <f t="shared" si="11"/>
        <v/>
      </c>
      <c r="I64" s="123" t="str">
        <f t="shared" si="2"/>
        <v/>
      </c>
      <c r="J64" s="889"/>
      <c r="K64" s="122" t="str">
        <f t="shared" si="12"/>
        <v/>
      </c>
      <c r="L64" s="160" t="str">
        <f t="shared" si="7"/>
        <v/>
      </c>
      <c r="M64" s="161">
        <f t="shared" si="8"/>
        <v>0</v>
      </c>
      <c r="N64" s="161">
        <f t="shared" si="9"/>
        <v>0</v>
      </c>
      <c r="O64" s="1331"/>
    </row>
    <row r="65" spans="1:95" ht="15.75" customHeight="1" x14ac:dyDescent="0.2">
      <c r="A65" s="1478"/>
      <c r="B65" s="1425"/>
      <c r="C65" s="1426"/>
      <c r="D65" s="894" t="s">
        <v>772</v>
      </c>
      <c r="E65" s="889"/>
      <c r="F65" s="122" t="str">
        <f t="shared" si="10"/>
        <v/>
      </c>
      <c r="G65" s="889"/>
      <c r="H65" s="122" t="str">
        <f t="shared" si="11"/>
        <v/>
      </c>
      <c r="I65" s="123" t="str">
        <f t="shared" si="2"/>
        <v/>
      </c>
      <c r="J65" s="889"/>
      <c r="K65" s="122" t="str">
        <f t="shared" si="12"/>
        <v/>
      </c>
      <c r="L65" s="160" t="str">
        <f t="shared" ref="L65:L80" si="13">IF(G65*J65=0,"",J65/G65)</f>
        <v/>
      </c>
      <c r="M65" s="161">
        <f t="shared" ref="M65:M80" si="14">G65-E65</f>
        <v>0</v>
      </c>
      <c r="N65" s="161">
        <f t="shared" ref="N65:N80" si="15">J65-G65</f>
        <v>0</v>
      </c>
      <c r="O65" s="1331"/>
    </row>
    <row r="66" spans="1:95" ht="15.75" customHeight="1" x14ac:dyDescent="0.2">
      <c r="A66" s="1478"/>
      <c r="B66" s="1425"/>
      <c r="C66" s="1426"/>
      <c r="D66" s="894"/>
      <c r="E66" s="889"/>
      <c r="F66" s="122" t="str">
        <f t="shared" si="10"/>
        <v/>
      </c>
      <c r="G66" s="889"/>
      <c r="H66" s="122" t="str">
        <f t="shared" si="11"/>
        <v/>
      </c>
      <c r="I66" s="123" t="str">
        <f t="shared" si="2"/>
        <v/>
      </c>
      <c r="J66" s="889"/>
      <c r="K66" s="122" t="str">
        <f t="shared" si="12"/>
        <v/>
      </c>
      <c r="L66" s="160" t="str">
        <f t="shared" si="13"/>
        <v/>
      </c>
      <c r="M66" s="161">
        <f t="shared" si="14"/>
        <v>0</v>
      </c>
      <c r="N66" s="161">
        <f t="shared" si="15"/>
        <v>0</v>
      </c>
      <c r="O66" s="1331"/>
    </row>
    <row r="67" spans="1:95" ht="15.75" customHeight="1" x14ac:dyDescent="0.2">
      <c r="A67" s="1478"/>
      <c r="B67" s="1425"/>
      <c r="C67" s="1426"/>
      <c r="D67" s="889"/>
      <c r="E67" s="889"/>
      <c r="F67" s="122" t="str">
        <f t="shared" si="10"/>
        <v/>
      </c>
      <c r="G67" s="889"/>
      <c r="H67" s="122" t="str">
        <f t="shared" si="11"/>
        <v/>
      </c>
      <c r="I67" s="123" t="str">
        <f>IF(E67*G67=0,"",G67/E67)</f>
        <v/>
      </c>
      <c r="J67" s="889"/>
      <c r="K67" s="122" t="str">
        <f t="shared" si="12"/>
        <v/>
      </c>
      <c r="L67" s="160" t="str">
        <f>IF(G67*J67=0,"",J67/G67)</f>
        <v/>
      </c>
      <c r="M67" s="161">
        <f>G67-E67</f>
        <v>0</v>
      </c>
      <c r="N67" s="161">
        <f t="shared" si="15"/>
        <v>0</v>
      </c>
      <c r="O67" s="1331"/>
    </row>
    <row r="68" spans="1:95" ht="15.75" customHeight="1" thickBot="1" x14ac:dyDescent="0.25">
      <c r="A68" s="1478"/>
      <c r="B68" s="1427"/>
      <c r="C68" s="1428"/>
      <c r="D68" s="911"/>
      <c r="E68" s="911"/>
      <c r="F68" s="162" t="str">
        <f t="shared" si="10"/>
        <v/>
      </c>
      <c r="G68" s="911"/>
      <c r="H68" s="162" t="str">
        <f t="shared" si="11"/>
        <v/>
      </c>
      <c r="I68" s="163" t="str">
        <f t="shared" si="2"/>
        <v/>
      </c>
      <c r="J68" s="911"/>
      <c r="K68" s="162" t="str">
        <f t="shared" si="12"/>
        <v/>
      </c>
      <c r="L68" s="164" t="str">
        <f t="shared" si="13"/>
        <v/>
      </c>
      <c r="M68" s="165">
        <f t="shared" si="14"/>
        <v>0</v>
      </c>
      <c r="N68" s="165">
        <f t="shared" si="15"/>
        <v>0</v>
      </c>
      <c r="O68" s="1331"/>
    </row>
    <row r="69" spans="1:95" ht="21" customHeight="1" thickBot="1" x14ac:dyDescent="0.25">
      <c r="A69" s="1479"/>
      <c r="B69" s="1420" t="s">
        <v>210</v>
      </c>
      <c r="C69" s="1421"/>
      <c r="D69" s="1422"/>
      <c r="E69" s="166">
        <f>SUM(E62:E68)</f>
        <v>0</v>
      </c>
      <c r="F69" s="142" t="str">
        <f t="shared" si="10"/>
        <v/>
      </c>
      <c r="G69" s="166">
        <f>SUM(G62:G68)</f>
        <v>0</v>
      </c>
      <c r="H69" s="142" t="str">
        <f t="shared" si="11"/>
        <v/>
      </c>
      <c r="I69" s="143" t="str">
        <f t="shared" si="2"/>
        <v/>
      </c>
      <c r="J69" s="166">
        <f>SUM(J62:J68)</f>
        <v>0</v>
      </c>
      <c r="K69" s="142" t="str">
        <f t="shared" si="12"/>
        <v/>
      </c>
      <c r="L69" s="167" t="str">
        <f t="shared" si="13"/>
        <v/>
      </c>
      <c r="M69" s="168">
        <f>G69-E69</f>
        <v>0</v>
      </c>
      <c r="N69" s="168">
        <f t="shared" si="15"/>
        <v>0</v>
      </c>
      <c r="O69" s="1331"/>
    </row>
    <row r="70" spans="1:95" ht="21" customHeight="1" thickBot="1" x14ac:dyDescent="0.25">
      <c r="A70" s="1431" t="s">
        <v>777</v>
      </c>
      <c r="B70" s="1432"/>
      <c r="C70" s="1432"/>
      <c r="D70" s="1432"/>
      <c r="E70" s="152">
        <f>E61+E69</f>
        <v>0</v>
      </c>
      <c r="F70" s="153" t="str">
        <f t="shared" si="10"/>
        <v/>
      </c>
      <c r="G70" s="152">
        <f>G61+G69</f>
        <v>0</v>
      </c>
      <c r="H70" s="153" t="str">
        <f t="shared" si="11"/>
        <v/>
      </c>
      <c r="I70" s="154" t="str">
        <f t="shared" ref="I70:I80" si="16">IF(E70*G70=0,"",G70/E70)</f>
        <v/>
      </c>
      <c r="J70" s="152">
        <f>J61+J69</f>
        <v>0</v>
      </c>
      <c r="K70" s="153" t="str">
        <f t="shared" si="12"/>
        <v/>
      </c>
      <c r="L70" s="170" t="str">
        <f t="shared" si="13"/>
        <v/>
      </c>
      <c r="M70" s="155">
        <f t="shared" si="14"/>
        <v>0</v>
      </c>
      <c r="N70" s="155">
        <f t="shared" si="15"/>
        <v>0</v>
      </c>
      <c r="O70" s="1331"/>
    </row>
    <row r="71" spans="1:95" s="174" customFormat="1" ht="15.75" customHeight="1" thickTop="1" x14ac:dyDescent="0.2">
      <c r="A71" s="1489" t="s">
        <v>214</v>
      </c>
      <c r="B71" s="1492" t="s">
        <v>215</v>
      </c>
      <c r="C71" s="1493"/>
      <c r="D71" s="908" t="s">
        <v>151</v>
      </c>
      <c r="E71" s="909"/>
      <c r="F71" s="171" t="str">
        <f t="shared" si="10"/>
        <v/>
      </c>
      <c r="G71" s="909"/>
      <c r="H71" s="171" t="str">
        <f t="shared" si="11"/>
        <v/>
      </c>
      <c r="I71" s="157" t="str">
        <f t="shared" si="16"/>
        <v/>
      </c>
      <c r="J71" s="909"/>
      <c r="K71" s="171" t="str">
        <f t="shared" si="12"/>
        <v/>
      </c>
      <c r="L71" s="158" t="str">
        <f t="shared" si="13"/>
        <v/>
      </c>
      <c r="M71" s="172">
        <f t="shared" si="14"/>
        <v>0</v>
      </c>
      <c r="N71" s="172">
        <f t="shared" si="15"/>
        <v>0</v>
      </c>
      <c r="O71" s="1331"/>
      <c r="P71" s="1400"/>
      <c r="Q71" s="1338"/>
      <c r="R71" s="1338"/>
      <c r="S71" s="1338"/>
      <c r="T71" s="1338"/>
      <c r="U71" s="1338"/>
      <c r="V71" s="1338"/>
      <c r="W71" s="1343"/>
      <c r="X71" s="1343"/>
      <c r="Y71" s="1343"/>
      <c r="Z71" s="1343"/>
      <c r="AA71" s="1343"/>
      <c r="AB71" s="1344"/>
      <c r="AC71" s="1343"/>
      <c r="AD71" s="1343"/>
      <c r="AE71" s="1343"/>
      <c r="AF71" s="1343"/>
      <c r="AG71" s="1343"/>
      <c r="AH71" s="1343"/>
      <c r="AI71" s="1343"/>
      <c r="AJ71" s="1343"/>
      <c r="AK71" s="1343"/>
      <c r="AL71" s="1343"/>
      <c r="AM71" s="1343"/>
      <c r="AN71" s="1343"/>
      <c r="AO71" s="1343"/>
      <c r="AP71" s="1343"/>
      <c r="AQ71" s="173"/>
      <c r="AR71" s="173"/>
      <c r="AS71" s="173"/>
      <c r="AT71" s="173"/>
      <c r="AU71" s="173"/>
      <c r="AV71" s="173"/>
      <c r="AW71" s="173"/>
      <c r="AX71" s="173"/>
      <c r="AY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Y71" s="173"/>
      <c r="BZ71" s="173"/>
      <c r="CA71" s="173"/>
      <c r="CB71" s="173"/>
      <c r="CC71" s="173"/>
      <c r="CD71" s="173"/>
      <c r="CE71" s="173"/>
      <c r="CF71" s="173"/>
      <c r="CG71" s="173"/>
      <c r="CH71" s="173"/>
      <c r="CI71" s="173"/>
      <c r="CJ71" s="173"/>
      <c r="CK71" s="173"/>
      <c r="CL71" s="173"/>
      <c r="CM71" s="173"/>
      <c r="CN71" s="173"/>
      <c r="CO71" s="173"/>
      <c r="CP71" s="173"/>
      <c r="CQ71" s="173"/>
    </row>
    <row r="72" spans="1:95" s="174" customFormat="1" ht="15.75" customHeight="1" x14ac:dyDescent="0.2">
      <c r="A72" s="1490"/>
      <c r="B72" s="1494"/>
      <c r="C72" s="1495"/>
      <c r="D72" s="886" t="s">
        <v>150</v>
      </c>
      <c r="E72" s="889"/>
      <c r="F72" s="122" t="str">
        <f t="shared" si="10"/>
        <v/>
      </c>
      <c r="G72" s="889"/>
      <c r="H72" s="122" t="str">
        <f t="shared" si="11"/>
        <v/>
      </c>
      <c r="I72" s="123" t="str">
        <f t="shared" si="16"/>
        <v/>
      </c>
      <c r="J72" s="889"/>
      <c r="K72" s="122" t="str">
        <f t="shared" si="12"/>
        <v/>
      </c>
      <c r="L72" s="160" t="str">
        <f t="shared" si="13"/>
        <v/>
      </c>
      <c r="M72" s="124">
        <f t="shared" si="14"/>
        <v>0</v>
      </c>
      <c r="N72" s="124">
        <f t="shared" si="15"/>
        <v>0</v>
      </c>
      <c r="O72" s="1331"/>
      <c r="P72" s="1400"/>
      <c r="Q72" s="1338"/>
      <c r="R72" s="1338"/>
      <c r="S72" s="1338"/>
      <c r="T72" s="1338"/>
      <c r="U72" s="1338"/>
      <c r="V72" s="1338"/>
      <c r="W72" s="1343"/>
      <c r="X72" s="1343"/>
      <c r="Y72" s="1343"/>
      <c r="Z72" s="1343"/>
      <c r="AA72" s="1343"/>
      <c r="AB72" s="1344"/>
      <c r="AC72" s="1343"/>
      <c r="AD72" s="1343"/>
      <c r="AE72" s="1343"/>
      <c r="AF72" s="1343"/>
      <c r="AG72" s="1343"/>
      <c r="AH72" s="1343"/>
      <c r="AI72" s="1343"/>
      <c r="AJ72" s="1343"/>
      <c r="AK72" s="1343"/>
      <c r="AL72" s="1343"/>
      <c r="AM72" s="1343"/>
      <c r="AN72" s="1343"/>
      <c r="AO72" s="1343"/>
      <c r="AP72" s="1343"/>
      <c r="AQ72" s="173"/>
      <c r="AR72" s="173"/>
      <c r="AS72" s="173"/>
      <c r="AT72" s="173"/>
      <c r="AU72" s="173"/>
      <c r="AV72" s="173"/>
      <c r="AW72" s="173"/>
      <c r="AX72" s="173"/>
      <c r="AY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Y72" s="173"/>
      <c r="BZ72" s="173"/>
      <c r="CA72" s="173"/>
      <c r="CB72" s="173"/>
      <c r="CC72" s="173"/>
      <c r="CD72" s="173"/>
      <c r="CE72" s="173"/>
      <c r="CF72" s="173"/>
      <c r="CG72" s="173"/>
      <c r="CH72" s="173"/>
      <c r="CI72" s="173"/>
      <c r="CJ72" s="173"/>
      <c r="CK72" s="173"/>
      <c r="CL72" s="173"/>
      <c r="CM72" s="173"/>
      <c r="CN72" s="173"/>
      <c r="CO72" s="173"/>
      <c r="CP72" s="173"/>
      <c r="CQ72" s="173"/>
    </row>
    <row r="73" spans="1:95" s="174" customFormat="1" ht="15.75" customHeight="1" x14ac:dyDescent="0.2">
      <c r="A73" s="1490"/>
      <c r="B73" s="1494"/>
      <c r="C73" s="1495"/>
      <c r="D73" s="886" t="s">
        <v>152</v>
      </c>
      <c r="E73" s="889"/>
      <c r="F73" s="122" t="str">
        <f t="shared" si="10"/>
        <v/>
      </c>
      <c r="G73" s="889"/>
      <c r="H73" s="122" t="str">
        <f t="shared" si="11"/>
        <v/>
      </c>
      <c r="I73" s="123" t="str">
        <f t="shared" si="16"/>
        <v/>
      </c>
      <c r="J73" s="889"/>
      <c r="K73" s="122" t="str">
        <f t="shared" si="12"/>
        <v/>
      </c>
      <c r="L73" s="160" t="str">
        <f t="shared" si="13"/>
        <v/>
      </c>
      <c r="M73" s="124">
        <f t="shared" si="14"/>
        <v>0</v>
      </c>
      <c r="N73" s="124">
        <f t="shared" si="15"/>
        <v>0</v>
      </c>
      <c r="O73" s="1331"/>
      <c r="P73" s="1400"/>
      <c r="Q73" s="1338"/>
      <c r="R73" s="1338"/>
      <c r="S73" s="1338"/>
      <c r="T73" s="1338"/>
      <c r="U73" s="1338"/>
      <c r="V73" s="1338"/>
      <c r="W73" s="1343"/>
      <c r="X73" s="1343"/>
      <c r="Y73" s="1343"/>
      <c r="Z73" s="1343"/>
      <c r="AA73" s="1343"/>
      <c r="AB73" s="1344"/>
      <c r="AC73" s="1343"/>
      <c r="AD73" s="1343"/>
      <c r="AE73" s="1343"/>
      <c r="AF73" s="1343"/>
      <c r="AG73" s="1343"/>
      <c r="AH73" s="1343"/>
      <c r="AI73" s="1343"/>
      <c r="AJ73" s="1343"/>
      <c r="AK73" s="1343"/>
      <c r="AL73" s="1343"/>
      <c r="AM73" s="1343"/>
      <c r="AN73" s="1343"/>
      <c r="AO73" s="1343"/>
      <c r="AP73" s="1343"/>
      <c r="AQ73" s="173"/>
      <c r="AR73" s="173"/>
      <c r="AS73" s="173"/>
      <c r="AT73" s="173"/>
      <c r="AU73" s="173"/>
      <c r="AV73" s="173"/>
      <c r="AW73" s="173"/>
      <c r="AX73" s="173"/>
      <c r="AY73" s="173"/>
      <c r="BA73" s="173"/>
      <c r="BB73" s="173"/>
      <c r="BC73" s="173"/>
      <c r="BD73" s="173"/>
      <c r="BE73" s="173"/>
      <c r="BF73" s="173"/>
      <c r="BG73" s="173"/>
      <c r="BH73" s="173"/>
      <c r="BI73" s="173"/>
      <c r="BJ73" s="173"/>
      <c r="BK73" s="173"/>
      <c r="BL73" s="173"/>
      <c r="BM73" s="173"/>
      <c r="BN73" s="173"/>
      <c r="BO73" s="173"/>
      <c r="BP73" s="173"/>
      <c r="BQ73" s="173"/>
      <c r="BR73" s="173"/>
      <c r="BS73" s="173"/>
      <c r="BT73" s="173"/>
      <c r="BU73" s="173"/>
      <c r="BV73" s="173"/>
      <c r="BW73" s="173"/>
      <c r="BY73" s="173"/>
      <c r="BZ73" s="173"/>
      <c r="CA73" s="173"/>
      <c r="CB73" s="173"/>
      <c r="CC73" s="173"/>
      <c r="CD73" s="173"/>
      <c r="CE73" s="173"/>
      <c r="CF73" s="173"/>
      <c r="CG73" s="173"/>
      <c r="CH73" s="173"/>
      <c r="CI73" s="173"/>
      <c r="CJ73" s="173"/>
      <c r="CK73" s="173"/>
      <c r="CL73" s="173"/>
      <c r="CM73" s="173"/>
      <c r="CN73" s="173"/>
      <c r="CO73" s="173"/>
      <c r="CP73" s="173"/>
      <c r="CQ73" s="173"/>
    </row>
    <row r="74" spans="1:95" s="174" customFormat="1" ht="15.75" customHeight="1" x14ac:dyDescent="0.2">
      <c r="A74" s="1490"/>
      <c r="B74" s="1494"/>
      <c r="C74" s="1495"/>
      <c r="D74" s="135" t="s">
        <v>170</v>
      </c>
      <c r="E74" s="889"/>
      <c r="F74" s="122" t="str">
        <f t="shared" si="10"/>
        <v/>
      </c>
      <c r="G74" s="889"/>
      <c r="H74" s="122" t="str">
        <f t="shared" si="11"/>
        <v/>
      </c>
      <c r="I74" s="123" t="str">
        <f>IF(E74*G74=0,"",G74/E74)</f>
        <v/>
      </c>
      <c r="J74" s="889"/>
      <c r="K74" s="122" t="str">
        <f t="shared" si="12"/>
        <v/>
      </c>
      <c r="L74" s="160" t="str">
        <f>IF(G74*J74=0,"",J74/G74)</f>
        <v/>
      </c>
      <c r="M74" s="124">
        <f>G74-E74</f>
        <v>0</v>
      </c>
      <c r="N74" s="124">
        <f>J74-G74</f>
        <v>0</v>
      </c>
      <c r="O74" s="1331"/>
      <c r="P74" s="1400"/>
      <c r="Q74" s="1338"/>
      <c r="R74" s="1338"/>
      <c r="S74" s="1338"/>
      <c r="T74" s="1338"/>
      <c r="U74" s="1338"/>
      <c r="V74" s="1338"/>
      <c r="W74" s="1343"/>
      <c r="X74" s="1343"/>
      <c r="Y74" s="1343"/>
      <c r="Z74" s="1343"/>
      <c r="AA74" s="1343"/>
      <c r="AB74" s="1344"/>
      <c r="AC74" s="1343"/>
      <c r="AD74" s="1343"/>
      <c r="AE74" s="1343"/>
      <c r="AF74" s="1343"/>
      <c r="AG74" s="1343"/>
      <c r="AH74" s="1343"/>
      <c r="AI74" s="1343"/>
      <c r="AJ74" s="1343"/>
      <c r="AK74" s="1343"/>
      <c r="AL74" s="1343"/>
      <c r="AM74" s="1343"/>
      <c r="AN74" s="1343"/>
      <c r="AO74" s="1343"/>
      <c r="AP74" s="1343"/>
      <c r="AQ74" s="173"/>
      <c r="AR74" s="173"/>
      <c r="AS74" s="173"/>
      <c r="AT74" s="173"/>
      <c r="AU74" s="173"/>
      <c r="AV74" s="173"/>
      <c r="AW74" s="173"/>
      <c r="AX74" s="173"/>
      <c r="AY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Y74" s="173"/>
      <c r="BZ74" s="173"/>
      <c r="CA74" s="173"/>
      <c r="CB74" s="173"/>
      <c r="CC74" s="173"/>
      <c r="CD74" s="173"/>
      <c r="CE74" s="173"/>
      <c r="CF74" s="173"/>
      <c r="CG74" s="173"/>
      <c r="CH74" s="173"/>
      <c r="CI74" s="173"/>
      <c r="CJ74" s="173"/>
      <c r="CK74" s="173"/>
      <c r="CL74" s="173"/>
      <c r="CM74" s="173"/>
      <c r="CN74" s="173"/>
      <c r="CO74" s="173"/>
      <c r="CP74" s="173"/>
      <c r="CQ74" s="173"/>
    </row>
    <row r="75" spans="1:95" s="174" customFormat="1" ht="15.75" customHeight="1" x14ac:dyDescent="0.2">
      <c r="A75" s="1490"/>
      <c r="B75" s="1494"/>
      <c r="C75" s="1495"/>
      <c r="D75" s="175" t="s">
        <v>168</v>
      </c>
      <c r="E75" s="903"/>
      <c r="F75" s="127" t="str">
        <f t="shared" si="10"/>
        <v/>
      </c>
      <c r="G75" s="892"/>
      <c r="H75" s="127" t="str">
        <f t="shared" si="11"/>
        <v/>
      </c>
      <c r="I75" s="128" t="str">
        <f>IF(E75*G75=0,"",G75/E75)</f>
        <v/>
      </c>
      <c r="J75" s="892"/>
      <c r="K75" s="127" t="str">
        <f t="shared" si="12"/>
        <v/>
      </c>
      <c r="L75" s="176" t="str">
        <f>IF(G75*J75=0,"",J75/G75)</f>
        <v/>
      </c>
      <c r="M75" s="129">
        <f>G75-E75</f>
        <v>0</v>
      </c>
      <c r="N75" s="129">
        <f>J75-G75</f>
        <v>0</v>
      </c>
      <c r="O75" s="1331"/>
      <c r="P75" s="1400"/>
      <c r="Q75" s="1338"/>
      <c r="R75" s="1338"/>
      <c r="S75" s="1338"/>
      <c r="T75" s="1338"/>
      <c r="U75" s="1338"/>
      <c r="V75" s="1338"/>
      <c r="W75" s="1343"/>
      <c r="X75" s="1343"/>
      <c r="Y75" s="1343"/>
      <c r="Z75" s="1343"/>
      <c r="AA75" s="1343"/>
      <c r="AB75" s="1344"/>
      <c r="AC75" s="1343"/>
      <c r="AD75" s="1343"/>
      <c r="AE75" s="1343"/>
      <c r="AF75" s="1343"/>
      <c r="AG75" s="1343"/>
      <c r="AH75" s="1343"/>
      <c r="AI75" s="1343"/>
      <c r="AJ75" s="1343"/>
      <c r="AK75" s="1343"/>
      <c r="AL75" s="1343"/>
      <c r="AM75" s="1343"/>
      <c r="AN75" s="1343"/>
      <c r="AO75" s="1343"/>
      <c r="AP75" s="1343"/>
      <c r="AQ75" s="173"/>
      <c r="AR75" s="173"/>
      <c r="AS75" s="173"/>
      <c r="AT75" s="173"/>
      <c r="AU75" s="173"/>
      <c r="AV75" s="173"/>
      <c r="AW75" s="173"/>
      <c r="AX75" s="173"/>
      <c r="AY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Y75" s="173"/>
      <c r="BZ75" s="173"/>
      <c r="CA75" s="173"/>
      <c r="CB75" s="173"/>
      <c r="CC75" s="173"/>
      <c r="CD75" s="173"/>
      <c r="CE75" s="173"/>
      <c r="CF75" s="173"/>
      <c r="CG75" s="173"/>
      <c r="CH75" s="173"/>
      <c r="CI75" s="173"/>
      <c r="CJ75" s="173"/>
      <c r="CK75" s="173"/>
      <c r="CL75" s="173"/>
      <c r="CM75" s="173"/>
      <c r="CN75" s="173"/>
      <c r="CO75" s="173"/>
      <c r="CP75" s="173"/>
      <c r="CQ75" s="173"/>
    </row>
    <row r="76" spans="1:95" s="174" customFormat="1" ht="21" customHeight="1" x14ac:dyDescent="0.2">
      <c r="A76" s="1490"/>
      <c r="B76" s="1496"/>
      <c r="C76" s="1497"/>
      <c r="D76" s="895" t="s">
        <v>196</v>
      </c>
      <c r="E76" s="897">
        <f>SUM(E71:E73)</f>
        <v>0</v>
      </c>
      <c r="F76" s="132" t="str">
        <f t="shared" si="10"/>
        <v/>
      </c>
      <c r="G76" s="897">
        <f>SUM(G71:G73)</f>
        <v>0</v>
      </c>
      <c r="H76" s="132" t="str">
        <f t="shared" si="11"/>
        <v/>
      </c>
      <c r="I76" s="133" t="str">
        <f t="shared" si="16"/>
        <v/>
      </c>
      <c r="J76" s="897">
        <f>SUM(J71:J73)</f>
        <v>0</v>
      </c>
      <c r="K76" s="132" t="str">
        <f t="shared" si="12"/>
        <v/>
      </c>
      <c r="L76" s="177" t="str">
        <f t="shared" si="13"/>
        <v/>
      </c>
      <c r="M76" s="134">
        <f t="shared" si="14"/>
        <v>0</v>
      </c>
      <c r="N76" s="134">
        <f t="shared" si="15"/>
        <v>0</v>
      </c>
      <c r="O76" s="1363"/>
      <c r="P76" s="1400"/>
      <c r="Q76" s="1338"/>
      <c r="R76" s="1338"/>
      <c r="S76" s="1338"/>
      <c r="T76" s="1338"/>
      <c r="U76" s="1338"/>
      <c r="V76" s="1338"/>
      <c r="W76" s="1343"/>
      <c r="X76" s="1343"/>
      <c r="Y76" s="1343"/>
      <c r="Z76" s="1343"/>
      <c r="AA76" s="1343"/>
      <c r="AB76" s="1344"/>
      <c r="AC76" s="1343"/>
      <c r="AD76" s="1343"/>
      <c r="AE76" s="1343"/>
      <c r="AF76" s="1343"/>
      <c r="AG76" s="1343"/>
      <c r="AH76" s="1343"/>
      <c r="AI76" s="1343"/>
      <c r="AJ76" s="1343"/>
      <c r="AK76" s="1343"/>
      <c r="AL76" s="1343"/>
      <c r="AM76" s="1343"/>
      <c r="AN76" s="1343"/>
      <c r="AO76" s="1343"/>
      <c r="AP76" s="1343"/>
      <c r="AQ76" s="173"/>
      <c r="AR76" s="173"/>
      <c r="AS76" s="173"/>
      <c r="AT76" s="173"/>
      <c r="AU76" s="173"/>
      <c r="AV76" s="173"/>
      <c r="AW76" s="173"/>
      <c r="AX76" s="173"/>
      <c r="AY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Y76" s="173"/>
      <c r="BZ76" s="173"/>
      <c r="CA76" s="173"/>
      <c r="CB76" s="173"/>
      <c r="CC76" s="173"/>
      <c r="CD76" s="173"/>
      <c r="CE76" s="173"/>
      <c r="CF76" s="173"/>
      <c r="CG76" s="173"/>
      <c r="CH76" s="173"/>
      <c r="CI76" s="173"/>
      <c r="CJ76" s="173"/>
      <c r="CK76" s="173"/>
      <c r="CL76" s="173"/>
      <c r="CM76" s="173"/>
      <c r="CN76" s="173"/>
      <c r="CO76" s="173"/>
      <c r="CP76" s="173"/>
      <c r="CQ76" s="173"/>
    </row>
    <row r="77" spans="1:95" s="174" customFormat="1" ht="15.75" customHeight="1" x14ac:dyDescent="0.2">
      <c r="A77" s="1490"/>
      <c r="B77" s="1498" t="s">
        <v>207</v>
      </c>
      <c r="C77" s="1499"/>
      <c r="D77" s="1500"/>
      <c r="E77" s="905"/>
      <c r="F77" s="132" t="str">
        <f t="shared" si="10"/>
        <v/>
      </c>
      <c r="G77" s="905"/>
      <c r="H77" s="132" t="str">
        <f t="shared" si="11"/>
        <v/>
      </c>
      <c r="I77" s="133" t="str">
        <f t="shared" si="16"/>
        <v/>
      </c>
      <c r="J77" s="905"/>
      <c r="K77" s="132" t="str">
        <f t="shared" si="12"/>
        <v/>
      </c>
      <c r="L77" s="177" t="str">
        <f t="shared" si="13"/>
        <v/>
      </c>
      <c r="M77" s="134">
        <f t="shared" si="14"/>
        <v>0</v>
      </c>
      <c r="N77" s="134">
        <f t="shared" si="15"/>
        <v>0</v>
      </c>
      <c r="O77" s="1363"/>
      <c r="P77" s="1400"/>
      <c r="Q77" s="1338"/>
      <c r="R77" s="1338"/>
      <c r="S77" s="1338"/>
      <c r="T77" s="1338"/>
      <c r="U77" s="1338"/>
      <c r="V77" s="1338"/>
      <c r="W77" s="1343"/>
      <c r="X77" s="1343"/>
      <c r="Y77" s="1343"/>
      <c r="Z77" s="1343"/>
      <c r="AA77" s="1343"/>
      <c r="AB77" s="1344"/>
      <c r="AC77" s="1343"/>
      <c r="AD77" s="1343"/>
      <c r="AE77" s="1343"/>
      <c r="AF77" s="1343"/>
      <c r="AG77" s="1343"/>
      <c r="AH77" s="1343"/>
      <c r="AI77" s="1343"/>
      <c r="AJ77" s="1343"/>
      <c r="AK77" s="1343"/>
      <c r="AL77" s="1343"/>
      <c r="AM77" s="1343"/>
      <c r="AN77" s="1343"/>
      <c r="AO77" s="1343"/>
      <c r="AP77" s="1343"/>
      <c r="AQ77" s="173"/>
      <c r="AR77" s="173"/>
      <c r="AS77" s="173"/>
      <c r="AT77" s="173"/>
      <c r="AU77" s="173"/>
      <c r="AV77" s="173"/>
      <c r="AW77" s="173"/>
      <c r="AX77" s="173"/>
      <c r="AY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Y77" s="173"/>
      <c r="BZ77" s="173"/>
      <c r="CA77" s="173"/>
      <c r="CB77" s="173"/>
      <c r="CC77" s="173"/>
      <c r="CD77" s="173"/>
      <c r="CE77" s="173"/>
      <c r="CF77" s="173"/>
      <c r="CG77" s="173"/>
      <c r="CH77" s="173"/>
      <c r="CI77" s="173"/>
      <c r="CJ77" s="173"/>
      <c r="CK77" s="173"/>
      <c r="CL77" s="173"/>
      <c r="CM77" s="173"/>
      <c r="CN77" s="173"/>
      <c r="CO77" s="173"/>
      <c r="CP77" s="173"/>
      <c r="CQ77" s="173"/>
    </row>
    <row r="78" spans="1:95" s="174" customFormat="1" ht="15.75" customHeight="1" thickBot="1" x14ac:dyDescent="0.25">
      <c r="A78" s="1490"/>
      <c r="B78" s="1501"/>
      <c r="C78" s="1502"/>
      <c r="D78" s="1503"/>
      <c r="E78" s="907"/>
      <c r="F78" s="138" t="str">
        <f t="shared" si="10"/>
        <v/>
      </c>
      <c r="G78" s="907"/>
      <c r="H78" s="138" t="str">
        <f t="shared" si="11"/>
        <v/>
      </c>
      <c r="I78" s="139" t="str">
        <f t="shared" si="16"/>
        <v/>
      </c>
      <c r="J78" s="907"/>
      <c r="K78" s="138" t="str">
        <f t="shared" si="12"/>
        <v/>
      </c>
      <c r="L78" s="178" t="str">
        <f>IF(G78*J78=0,"",J78/G78)</f>
        <v/>
      </c>
      <c r="M78" s="140">
        <f>G78-E78</f>
        <v>0</v>
      </c>
      <c r="N78" s="140">
        <f>J78-G78</f>
        <v>0</v>
      </c>
      <c r="O78" s="1364"/>
      <c r="P78" s="1400"/>
      <c r="Q78" s="1338"/>
      <c r="R78" s="1338"/>
      <c r="S78" s="1338"/>
      <c r="T78" s="1338"/>
      <c r="U78" s="1338"/>
      <c r="V78" s="1338"/>
      <c r="W78" s="1343"/>
      <c r="X78" s="1343"/>
      <c r="Y78" s="1343"/>
      <c r="Z78" s="1343"/>
      <c r="AA78" s="1343"/>
      <c r="AB78" s="1344"/>
      <c r="AC78" s="1343"/>
      <c r="AD78" s="1343"/>
      <c r="AE78" s="1343"/>
      <c r="AF78" s="1343"/>
      <c r="AG78" s="1343"/>
      <c r="AH78" s="1343"/>
      <c r="AI78" s="1343"/>
      <c r="AJ78" s="1343"/>
      <c r="AK78" s="1343"/>
      <c r="AL78" s="1343"/>
      <c r="AM78" s="1343"/>
      <c r="AN78" s="1343"/>
      <c r="AO78" s="1343"/>
      <c r="AP78" s="1343"/>
      <c r="AQ78" s="173"/>
      <c r="AR78" s="173"/>
      <c r="AS78" s="173"/>
      <c r="AT78" s="173"/>
      <c r="AU78" s="173"/>
      <c r="AV78" s="173"/>
      <c r="AW78" s="173"/>
      <c r="AX78" s="173"/>
      <c r="AY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Y78" s="173"/>
      <c r="BZ78" s="173"/>
      <c r="CA78" s="173"/>
      <c r="CB78" s="173"/>
      <c r="CC78" s="173"/>
      <c r="CD78" s="173"/>
      <c r="CE78" s="173"/>
      <c r="CF78" s="173"/>
      <c r="CG78" s="173"/>
      <c r="CH78" s="173"/>
      <c r="CI78" s="173"/>
      <c r="CJ78" s="173"/>
      <c r="CK78" s="173"/>
      <c r="CL78" s="173"/>
      <c r="CM78" s="173"/>
      <c r="CN78" s="173"/>
      <c r="CO78" s="173"/>
      <c r="CP78" s="173"/>
      <c r="CQ78" s="173"/>
    </row>
    <row r="79" spans="1:95" s="174" customFormat="1" ht="21" customHeight="1" thickBot="1" x14ac:dyDescent="0.25">
      <c r="A79" s="1491"/>
      <c r="B79" s="1486" t="s">
        <v>213</v>
      </c>
      <c r="C79" s="1487"/>
      <c r="D79" s="1488"/>
      <c r="E79" s="901">
        <f>E76+E77+E78</f>
        <v>0</v>
      </c>
      <c r="F79" s="1325" t="str">
        <f t="shared" si="10"/>
        <v/>
      </c>
      <c r="G79" s="901">
        <f>G76+G77+G78</f>
        <v>0</v>
      </c>
      <c r="H79" s="1325" t="str">
        <f t="shared" si="11"/>
        <v/>
      </c>
      <c r="I79" s="143" t="str">
        <f t="shared" si="16"/>
        <v/>
      </c>
      <c r="J79" s="901">
        <f>J76+J77+J78</f>
        <v>0</v>
      </c>
      <c r="K79" s="1325" t="str">
        <f t="shared" si="12"/>
        <v/>
      </c>
      <c r="L79" s="167" t="str">
        <f>IF(G79*J79=0,"",J79/G79)</f>
        <v/>
      </c>
      <c r="M79" s="144">
        <f>G79-E79</f>
        <v>0</v>
      </c>
      <c r="N79" s="144">
        <f t="shared" si="15"/>
        <v>0</v>
      </c>
      <c r="O79" s="1361"/>
      <c r="P79" s="1400"/>
      <c r="Q79" s="1338"/>
      <c r="R79" s="1338"/>
      <c r="S79" s="1338"/>
      <c r="T79" s="1338"/>
      <c r="U79" s="1338"/>
      <c r="V79" s="1338"/>
      <c r="W79" s="1343"/>
      <c r="X79" s="1343"/>
      <c r="Y79" s="1343"/>
      <c r="Z79" s="1343"/>
      <c r="AA79" s="1343"/>
      <c r="AB79" s="1344"/>
      <c r="AC79" s="1343"/>
      <c r="AD79" s="1343"/>
      <c r="AE79" s="1343"/>
      <c r="AF79" s="1343"/>
      <c r="AG79" s="1343"/>
      <c r="AH79" s="1343"/>
      <c r="AI79" s="1343"/>
      <c r="AJ79" s="1343"/>
      <c r="AK79" s="1343"/>
      <c r="AL79" s="1343"/>
      <c r="AM79" s="1343"/>
      <c r="AN79" s="1343"/>
      <c r="AO79" s="1343"/>
      <c r="AP79" s="1343"/>
      <c r="AQ79" s="173"/>
      <c r="AR79" s="173"/>
      <c r="AS79" s="173"/>
      <c r="AT79" s="173"/>
      <c r="AU79" s="173"/>
      <c r="AV79" s="173"/>
      <c r="AW79" s="173"/>
      <c r="AX79" s="173"/>
      <c r="AY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Y79" s="173"/>
      <c r="BZ79" s="173"/>
      <c r="CA79" s="173"/>
      <c r="CB79" s="173"/>
      <c r="CC79" s="173"/>
      <c r="CD79" s="173"/>
      <c r="CE79" s="173"/>
      <c r="CF79" s="173"/>
      <c r="CG79" s="173"/>
      <c r="CH79" s="173"/>
      <c r="CI79" s="173"/>
      <c r="CJ79" s="173"/>
      <c r="CK79" s="173"/>
      <c r="CL79" s="173"/>
      <c r="CM79" s="173"/>
      <c r="CN79" s="173"/>
      <c r="CO79" s="173"/>
      <c r="CP79" s="173"/>
      <c r="CQ79" s="173"/>
    </row>
    <row r="80" spans="1:95" s="174" customFormat="1" ht="21" customHeight="1" thickBot="1" x14ac:dyDescent="0.25">
      <c r="A80" s="1504" t="s">
        <v>167</v>
      </c>
      <c r="B80" s="1505"/>
      <c r="C80" s="1505"/>
      <c r="D80" s="1505"/>
      <c r="E80" s="913">
        <f>E70+E79</f>
        <v>0</v>
      </c>
      <c r="F80" s="153" t="e">
        <f>F70+F79</f>
        <v>#VALUE!</v>
      </c>
      <c r="G80" s="913">
        <f>G70+G79</f>
        <v>0</v>
      </c>
      <c r="H80" s="153" t="e">
        <f>H70+H79</f>
        <v>#VALUE!</v>
      </c>
      <c r="I80" s="154" t="str">
        <f t="shared" si="16"/>
        <v/>
      </c>
      <c r="J80" s="913">
        <f>J70+J79</f>
        <v>0</v>
      </c>
      <c r="K80" s="153" t="e">
        <f>K70+K79</f>
        <v>#VALUE!</v>
      </c>
      <c r="L80" s="170" t="str">
        <f t="shared" si="13"/>
        <v/>
      </c>
      <c r="M80" s="179">
        <f t="shared" si="14"/>
        <v>0</v>
      </c>
      <c r="N80" s="179">
        <f t="shared" si="15"/>
        <v>0</v>
      </c>
      <c r="O80" s="1365"/>
      <c r="P80" s="1400"/>
      <c r="Q80" s="1338"/>
      <c r="R80" s="1338"/>
      <c r="S80" s="1338"/>
      <c r="T80" s="1338"/>
      <c r="U80" s="1338"/>
      <c r="V80" s="1338"/>
      <c r="W80" s="1343"/>
      <c r="X80" s="1343"/>
      <c r="Y80" s="1343"/>
      <c r="Z80" s="1343"/>
      <c r="AA80" s="1343"/>
      <c r="AB80" s="1344"/>
      <c r="AC80" s="1343"/>
      <c r="AD80" s="1343"/>
      <c r="AE80" s="1343"/>
      <c r="AF80" s="1343"/>
      <c r="AG80" s="1343"/>
      <c r="AH80" s="1343"/>
      <c r="AI80" s="1343"/>
      <c r="AJ80" s="1343"/>
      <c r="AK80" s="1343"/>
      <c r="AL80" s="1343"/>
      <c r="AM80" s="1343"/>
      <c r="AN80" s="1343"/>
      <c r="AO80" s="1343"/>
      <c r="AP80" s="1343"/>
      <c r="AQ80" s="173"/>
      <c r="AR80" s="173"/>
      <c r="AS80" s="173"/>
      <c r="AT80" s="173"/>
      <c r="AU80" s="173"/>
      <c r="AV80" s="173"/>
      <c r="AW80" s="173"/>
      <c r="AX80" s="173"/>
      <c r="AY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Y80" s="173"/>
      <c r="BZ80" s="173"/>
      <c r="CA80" s="173"/>
      <c r="CB80" s="173"/>
      <c r="CC80" s="173"/>
      <c r="CD80" s="173"/>
      <c r="CE80" s="173"/>
      <c r="CF80" s="173"/>
      <c r="CG80" s="173"/>
      <c r="CH80" s="173"/>
      <c r="CI80" s="173"/>
      <c r="CJ80" s="173"/>
      <c r="CK80" s="173"/>
      <c r="CL80" s="173"/>
      <c r="CM80" s="173"/>
      <c r="CN80" s="173"/>
      <c r="CO80" s="173"/>
      <c r="CP80" s="173"/>
      <c r="CQ80" s="173"/>
    </row>
    <row r="81" spans="1:15" ht="13.8" thickTop="1" x14ac:dyDescent="0.2">
      <c r="A81" s="180" t="s">
        <v>177</v>
      </c>
      <c r="B81" s="181"/>
      <c r="C81" s="180"/>
      <c r="D81" s="181"/>
      <c r="E81" s="181">
        <f>E50-E80</f>
        <v>0</v>
      </c>
      <c r="F81" s="182"/>
      <c r="G81" s="181">
        <f>G50-G80</f>
        <v>0</v>
      </c>
      <c r="H81" s="182"/>
      <c r="I81" s="183"/>
      <c r="J81" s="181">
        <f>J50-J80</f>
        <v>0</v>
      </c>
      <c r="K81" s="184"/>
      <c r="L81" s="184"/>
      <c r="M81" s="185"/>
      <c r="N81" s="185"/>
      <c r="O81" s="1366"/>
    </row>
    <row r="82" spans="1:15" x14ac:dyDescent="0.2">
      <c r="A82" s="102"/>
      <c r="B82" s="1509"/>
      <c r="C82" s="1509"/>
      <c r="D82" s="1509"/>
      <c r="H82" s="104"/>
      <c r="M82" s="186"/>
      <c r="N82" s="186"/>
      <c r="O82" s="1367"/>
    </row>
    <row r="83" spans="1:15" ht="16.5" customHeight="1" x14ac:dyDescent="0.2">
      <c r="A83" s="102"/>
      <c r="B83" s="1510" t="s">
        <v>219</v>
      </c>
      <c r="C83" s="1511"/>
      <c r="D83" s="1512"/>
      <c r="E83" s="888"/>
      <c r="F83" s="118" t="str">
        <f>IF(E83=0,"",E83/E$80)</f>
        <v/>
      </c>
      <c r="G83" s="888"/>
      <c r="H83" s="118" t="str">
        <f>IF(G83=0,"",G83/G$80)</f>
        <v/>
      </c>
      <c r="I83" s="187" t="str">
        <f>IF(E83*G83=0,"",G83/E83)</f>
        <v/>
      </c>
      <c r="J83" s="888"/>
      <c r="K83" s="118" t="str">
        <f>IF(J83=0,"",J83/J$80)</f>
        <v/>
      </c>
      <c r="L83" s="188" t="str">
        <f>IF(G83*J83=0,"",J83/G83)</f>
        <v/>
      </c>
      <c r="M83" s="120">
        <f>G83-E83</f>
        <v>0</v>
      </c>
      <c r="N83" s="120">
        <f>J83-G83</f>
        <v>0</v>
      </c>
      <c r="O83" s="1368"/>
    </row>
    <row r="84" spans="1:15" ht="16.5" customHeight="1" x14ac:dyDescent="0.2">
      <c r="A84" s="102"/>
      <c r="B84" s="1513" t="s">
        <v>220</v>
      </c>
      <c r="C84" s="1514"/>
      <c r="D84" s="1515"/>
      <c r="E84" s="892"/>
      <c r="F84" s="127" t="str">
        <f>IF(E84=0,"",E84/E$80)</f>
        <v/>
      </c>
      <c r="G84" s="892"/>
      <c r="H84" s="127" t="str">
        <f>IF(G84=0,"",G84/G$80)</f>
        <v/>
      </c>
      <c r="I84" s="189" t="str">
        <f>IF(E84*G84=0,"",G84/E84)</f>
        <v/>
      </c>
      <c r="J84" s="892"/>
      <c r="K84" s="127" t="str">
        <f>IF(J84=0,"",J84/J$80)</f>
        <v/>
      </c>
      <c r="L84" s="190" t="str">
        <f>IF(G84*J84=0,"",J84/G84)</f>
        <v/>
      </c>
      <c r="M84" s="129">
        <f>G84-E84</f>
        <v>0</v>
      </c>
      <c r="N84" s="129">
        <f>J84-G84</f>
        <v>0</v>
      </c>
      <c r="O84" s="1362"/>
    </row>
    <row r="85" spans="1:15" x14ac:dyDescent="0.2">
      <c r="C85" s="103"/>
      <c r="G85" s="103"/>
      <c r="H85" s="104"/>
      <c r="M85" s="186"/>
      <c r="N85" s="186"/>
      <c r="O85" s="1367"/>
    </row>
    <row r="86" spans="1:15" x14ac:dyDescent="0.2">
      <c r="A86" s="102" t="s">
        <v>218</v>
      </c>
      <c r="C86" s="103"/>
      <c r="H86" s="104"/>
      <c r="M86" s="186"/>
      <c r="N86" s="186"/>
      <c r="O86" s="1367"/>
    </row>
    <row r="87" spans="1:15" ht="27" customHeight="1" x14ac:dyDescent="0.2">
      <c r="A87" s="1429" t="s">
        <v>241</v>
      </c>
      <c r="B87" s="1430"/>
      <c r="C87" s="1430"/>
      <c r="D87" s="1430"/>
      <c r="E87" s="191">
        <f>E50-E35-E39</f>
        <v>0</v>
      </c>
      <c r="F87" s="118" t="str">
        <f>IF(E87=0,"",E87/E$80)</f>
        <v/>
      </c>
      <c r="G87" s="191">
        <f>G50-G35-G39</f>
        <v>0</v>
      </c>
      <c r="H87" s="118" t="str">
        <f>IF(G87=0,"",G87/G$80)</f>
        <v/>
      </c>
      <c r="I87" s="192" t="str">
        <f>IF(E87*G87=0,"",G87/E87)</f>
        <v/>
      </c>
      <c r="J87" s="191">
        <f>J50-J35-J39</f>
        <v>0</v>
      </c>
      <c r="K87" s="118" t="str">
        <f>IF(J87=0,"",J87/J$80)</f>
        <v/>
      </c>
      <c r="L87" s="192" t="str">
        <f>IF(G87*J87=0,"",J87/G87)</f>
        <v/>
      </c>
      <c r="M87" s="193">
        <f>G87-E87</f>
        <v>0</v>
      </c>
      <c r="N87" s="193">
        <f>J87-G87</f>
        <v>0</v>
      </c>
      <c r="O87" s="1350"/>
    </row>
    <row r="88" spans="1:15" ht="27" customHeight="1" x14ac:dyDescent="0.2">
      <c r="A88" s="1581" t="s">
        <v>217</v>
      </c>
      <c r="B88" s="1519"/>
      <c r="C88" s="1519"/>
      <c r="D88" s="1519"/>
      <c r="E88" s="194">
        <f>(E9+E8+E16+E83+E84)-(E51+E52+E84)</f>
        <v>0</v>
      </c>
      <c r="F88" s="127" t="str">
        <f>IF(E88=0,"",E88/E$80)</f>
        <v/>
      </c>
      <c r="G88" s="194">
        <f>(G9+G8+G16+G83+G84)-(G51+G52+G84)</f>
        <v>0</v>
      </c>
      <c r="H88" s="127" t="str">
        <f>IF(G88=0,"",G88/G$80)</f>
        <v/>
      </c>
      <c r="I88" s="195" t="str">
        <f>IF(E88*G88=0,"",G88/E88)</f>
        <v/>
      </c>
      <c r="J88" s="194">
        <f>(J9+J8+J16+J83+J84)-(J51+J52+J84)</f>
        <v>0</v>
      </c>
      <c r="K88" s="127" t="str">
        <f>IF(J88=0,"",J88/J$80)</f>
        <v/>
      </c>
      <c r="L88" s="195" t="str">
        <f>IF(G88*J88=0,"",J88/G88)</f>
        <v/>
      </c>
      <c r="M88" s="196">
        <f>G88-E88</f>
        <v>0</v>
      </c>
      <c r="N88" s="196">
        <f>J88-G88</f>
        <v>0</v>
      </c>
      <c r="O88" s="1352"/>
    </row>
    <row r="89" spans="1:15" ht="16.2" x14ac:dyDescent="0.2">
      <c r="A89" s="98" t="str">
        <f>A1</f>
        <v>企業名 :</v>
      </c>
      <c r="B89" s="198"/>
      <c r="C89" s="198"/>
      <c r="D89" s="98">
        <f>D1</f>
        <v>0</v>
      </c>
      <c r="F89" s="1580" t="s">
        <v>173</v>
      </c>
      <c r="G89" s="1579"/>
      <c r="H89" s="1579"/>
      <c r="I89" s="1579"/>
      <c r="J89" s="1579"/>
      <c r="K89" s="1579"/>
      <c r="L89" s="1579"/>
      <c r="M89" s="1579"/>
      <c r="N89" s="1579"/>
    </row>
    <row r="90" spans="1:15" x14ac:dyDescent="0.2">
      <c r="M90" s="197"/>
      <c r="N90" s="197"/>
      <c r="O90" s="1349" t="s">
        <v>0</v>
      </c>
    </row>
    <row r="91" spans="1:15" ht="30" customHeight="1" x14ac:dyDescent="0.2">
      <c r="A91" s="1467" t="s">
        <v>162</v>
      </c>
      <c r="B91" s="1506"/>
      <c r="C91" s="1506"/>
      <c r="D91" s="1506"/>
      <c r="E91" s="200" t="str">
        <f>E4</f>
        <v>2020年2月1日～
2021年1月31日</v>
      </c>
      <c r="F91" s="201" t="s">
        <v>367</v>
      </c>
      <c r="G91" s="202" t="str">
        <f>G4</f>
        <v>2021年2月1日～2022年1月31日</v>
      </c>
      <c r="H91" s="201" t="s">
        <v>367</v>
      </c>
      <c r="I91" s="110" t="s">
        <v>470</v>
      </c>
      <c r="J91" s="202" t="str">
        <f>J4</f>
        <v>2022年2月1日～2023年1月31日</v>
      </c>
      <c r="K91" s="201" t="s">
        <v>367</v>
      </c>
      <c r="L91" s="110" t="s">
        <v>200</v>
      </c>
      <c r="M91" s="1443" t="s">
        <v>201</v>
      </c>
      <c r="N91" s="1444"/>
      <c r="O91" s="1557" t="s">
        <v>2</v>
      </c>
    </row>
    <row r="92" spans="1:15" ht="15" customHeight="1" x14ac:dyDescent="0.2">
      <c r="A92" s="1507"/>
      <c r="B92" s="1508"/>
      <c r="C92" s="1508"/>
      <c r="D92" s="1508"/>
      <c r="E92" s="203" t="str">
        <f>E5</f>
        <v>前々期</v>
      </c>
      <c r="F92" s="201" t="s">
        <v>4</v>
      </c>
      <c r="G92" s="204" t="str">
        <f>G5</f>
        <v>前期</v>
      </c>
      <c r="H92" s="107" t="s">
        <v>4</v>
      </c>
      <c r="I92" s="205" t="s">
        <v>4</v>
      </c>
      <c r="J92" s="204" t="str">
        <f>J5</f>
        <v>今期</v>
      </c>
      <c r="K92" s="107" t="s">
        <v>4</v>
      </c>
      <c r="L92" s="205" t="s">
        <v>4</v>
      </c>
      <c r="M92" s="206" t="str">
        <f>G92</f>
        <v>前期</v>
      </c>
      <c r="N92" s="206" t="str">
        <f>J92</f>
        <v>今期</v>
      </c>
      <c r="O92" s="1588"/>
    </row>
    <row r="93" spans="1:15" ht="15" customHeight="1" x14ac:dyDescent="0.2">
      <c r="A93" s="1516" t="s">
        <v>221</v>
      </c>
      <c r="B93" s="1439" t="s">
        <v>188</v>
      </c>
      <c r="C93" s="1433" t="s">
        <v>33</v>
      </c>
      <c r="D93" s="1434"/>
      <c r="E93" s="1322"/>
      <c r="F93" s="118" t="str">
        <f t="shared" ref="F93:F123" si="17">IF(E93=0,"",E93/E$129)</f>
        <v/>
      </c>
      <c r="G93" s="1322"/>
      <c r="H93" s="118" t="str">
        <f t="shared" ref="H93:H123" si="18">IF(G93=0,"",G93/G$129)</f>
        <v/>
      </c>
      <c r="I93" s="192" t="str">
        <f t="shared" ref="I93:I123" si="19">IF(E93*G93=0,"",G93/E93)</f>
        <v/>
      </c>
      <c r="J93" s="1322"/>
      <c r="K93" s="118" t="str">
        <f t="shared" ref="K93:K123" si="20">IF(J93=0,"",J93/J$129)</f>
        <v/>
      </c>
      <c r="L93" s="192" t="str">
        <f>IF(G93*J93=0,"",J93/G93)</f>
        <v/>
      </c>
      <c r="M93" s="193">
        <f t="shared" ref="M93:M123" si="21">G93-E93</f>
        <v>0</v>
      </c>
      <c r="N93" s="193">
        <f t="shared" ref="N93:N123" si="22">J93-G93</f>
        <v>0</v>
      </c>
      <c r="O93" s="1359"/>
    </row>
    <row r="94" spans="1:15" ht="15" customHeight="1" x14ac:dyDescent="0.2">
      <c r="A94" s="1517"/>
      <c r="B94" s="1440"/>
      <c r="C94" s="1435" t="s">
        <v>34</v>
      </c>
      <c r="D94" s="1436"/>
      <c r="E94" s="889"/>
      <c r="F94" s="122" t="str">
        <f t="shared" si="17"/>
        <v/>
      </c>
      <c r="G94" s="889"/>
      <c r="H94" s="122" t="str">
        <f t="shared" si="18"/>
        <v/>
      </c>
      <c r="I94" s="208" t="str">
        <f t="shared" si="19"/>
        <v/>
      </c>
      <c r="J94" s="889"/>
      <c r="K94" s="122" t="str">
        <f t="shared" si="20"/>
        <v/>
      </c>
      <c r="L94" s="208" t="str">
        <f t="shared" ref="L94:L123" si="23">IF(G94*J94=0,"",J94/G94)</f>
        <v/>
      </c>
      <c r="M94" s="161">
        <f t="shared" si="21"/>
        <v>0</v>
      </c>
      <c r="N94" s="161">
        <f t="shared" si="22"/>
        <v>0</v>
      </c>
      <c r="O94" s="1359"/>
    </row>
    <row r="95" spans="1:15" ht="15" customHeight="1" thickBot="1" x14ac:dyDescent="0.25">
      <c r="A95" s="1517"/>
      <c r="B95" s="1441"/>
      <c r="C95" s="1437" t="s">
        <v>35</v>
      </c>
      <c r="D95" s="1438"/>
      <c r="E95" s="1323"/>
      <c r="F95" s="162" t="str">
        <f t="shared" si="17"/>
        <v/>
      </c>
      <c r="G95" s="1323"/>
      <c r="H95" s="162" t="str">
        <f t="shared" si="18"/>
        <v/>
      </c>
      <c r="I95" s="210" t="str">
        <f t="shared" si="19"/>
        <v/>
      </c>
      <c r="J95" s="1323"/>
      <c r="K95" s="162" t="str">
        <f t="shared" si="20"/>
        <v/>
      </c>
      <c r="L95" s="210" t="str">
        <f t="shared" si="23"/>
        <v/>
      </c>
      <c r="M95" s="165">
        <f t="shared" si="21"/>
        <v>0</v>
      </c>
      <c r="N95" s="165">
        <f t="shared" si="22"/>
        <v>0</v>
      </c>
      <c r="O95" s="1359"/>
    </row>
    <row r="96" spans="1:15" ht="21" customHeight="1" thickBot="1" x14ac:dyDescent="0.25">
      <c r="A96" s="1517"/>
      <c r="B96" s="1582" t="s">
        <v>475</v>
      </c>
      <c r="C96" s="1487"/>
      <c r="D96" s="1488"/>
      <c r="E96" s="166">
        <f>E93+E94-E95</f>
        <v>0</v>
      </c>
      <c r="F96" s="142" t="str">
        <f t="shared" si="17"/>
        <v/>
      </c>
      <c r="G96" s="166">
        <f>G93+G94-G95</f>
        <v>0</v>
      </c>
      <c r="H96" s="142" t="str">
        <f t="shared" si="18"/>
        <v/>
      </c>
      <c r="I96" s="211" t="str">
        <f t="shared" si="19"/>
        <v/>
      </c>
      <c r="J96" s="166">
        <f>J93+J94-J95</f>
        <v>0</v>
      </c>
      <c r="K96" s="1325" t="str">
        <f t="shared" si="20"/>
        <v/>
      </c>
      <c r="L96" s="211" t="str">
        <f t="shared" si="23"/>
        <v/>
      </c>
      <c r="M96" s="168">
        <f t="shared" si="21"/>
        <v>0</v>
      </c>
      <c r="N96" s="168">
        <f t="shared" si="22"/>
        <v>0</v>
      </c>
      <c r="O96" s="1346"/>
    </row>
    <row r="97" spans="1:15" ht="15" customHeight="1" x14ac:dyDescent="0.2">
      <c r="A97" s="1517"/>
      <c r="B97" s="1442" t="s">
        <v>191</v>
      </c>
      <c r="C97" s="275" t="s">
        <v>153</v>
      </c>
      <c r="D97" s="1301" t="s">
        <v>752</v>
      </c>
      <c r="E97" s="914"/>
      <c r="F97" s="212" t="str">
        <f t="shared" si="17"/>
        <v/>
      </c>
      <c r="G97" s="914"/>
      <c r="H97" s="212" t="str">
        <f t="shared" si="18"/>
        <v/>
      </c>
      <c r="I97" s="213" t="str">
        <f t="shared" si="19"/>
        <v/>
      </c>
      <c r="J97" s="957"/>
      <c r="K97" s="212" t="str">
        <f t="shared" si="20"/>
        <v/>
      </c>
      <c r="L97" s="213" t="str">
        <f t="shared" si="23"/>
        <v/>
      </c>
      <c r="M97" s="214">
        <f t="shared" si="21"/>
        <v>0</v>
      </c>
      <c r="N97" s="215">
        <f t="shared" si="22"/>
        <v>0</v>
      </c>
      <c r="O97" s="1369"/>
    </row>
    <row r="98" spans="1:15" ht="15" customHeight="1" x14ac:dyDescent="0.2">
      <c r="A98" s="1517"/>
      <c r="B98" s="1418"/>
      <c r="C98" s="276" t="s">
        <v>153</v>
      </c>
      <c r="D98" s="1302" t="s">
        <v>753</v>
      </c>
      <c r="E98" s="889"/>
      <c r="F98" s="122" t="str">
        <f t="shared" si="17"/>
        <v/>
      </c>
      <c r="G98" s="889"/>
      <c r="H98" s="122" t="str">
        <f t="shared" si="18"/>
        <v/>
      </c>
      <c r="I98" s="208" t="str">
        <f t="shared" si="19"/>
        <v/>
      </c>
      <c r="J98" s="889"/>
      <c r="K98" s="122" t="str">
        <f t="shared" si="20"/>
        <v/>
      </c>
      <c r="L98" s="208" t="str">
        <f>IF(G98*J98=0,"",J98/G98)</f>
        <v/>
      </c>
      <c r="M98" s="124">
        <f t="shared" ref="M98:M106" si="24">G98-E98</f>
        <v>0</v>
      </c>
      <c r="N98" s="161">
        <f t="shared" ref="N98:N106" si="25">J98-G98</f>
        <v>0</v>
      </c>
      <c r="O98" s="1359"/>
    </row>
    <row r="99" spans="1:15" ht="15" customHeight="1" x14ac:dyDescent="0.2">
      <c r="A99" s="1517"/>
      <c r="B99" s="1418"/>
      <c r="C99" s="276" t="s">
        <v>476</v>
      </c>
      <c r="D99" s="915" t="s">
        <v>754</v>
      </c>
      <c r="E99" s="889"/>
      <c r="F99" s="122" t="str">
        <f t="shared" si="17"/>
        <v/>
      </c>
      <c r="G99" s="889"/>
      <c r="H99" s="122" t="str">
        <f t="shared" si="18"/>
        <v/>
      </c>
      <c r="I99" s="208" t="str">
        <f t="shared" si="19"/>
        <v/>
      </c>
      <c r="J99" s="889"/>
      <c r="K99" s="122" t="str">
        <f t="shared" si="20"/>
        <v/>
      </c>
      <c r="L99" s="208" t="str">
        <f>IF(G99*J99=0,"",J99/G99)</f>
        <v/>
      </c>
      <c r="M99" s="124">
        <f t="shared" si="24"/>
        <v>0</v>
      </c>
      <c r="N99" s="161">
        <f t="shared" si="25"/>
        <v>0</v>
      </c>
      <c r="O99" s="1359"/>
    </row>
    <row r="100" spans="1:15" ht="15" customHeight="1" thickBot="1" x14ac:dyDescent="0.25">
      <c r="A100" s="1517"/>
      <c r="B100" s="1419"/>
      <c r="C100" s="277" t="s">
        <v>153</v>
      </c>
      <c r="D100" s="916" t="s">
        <v>773</v>
      </c>
      <c r="E100" s="911"/>
      <c r="F100" s="162" t="str">
        <f t="shared" si="17"/>
        <v/>
      </c>
      <c r="G100" s="911"/>
      <c r="H100" s="162" t="str">
        <f t="shared" si="18"/>
        <v/>
      </c>
      <c r="I100" s="210" t="str">
        <f>IF(E100*G100=0,"",G100/E100)</f>
        <v/>
      </c>
      <c r="J100" s="911"/>
      <c r="K100" s="162" t="str">
        <f t="shared" si="20"/>
        <v/>
      </c>
      <c r="L100" s="210" t="str">
        <f>IF(G100*J100=0,"",J100/G100)</f>
        <v/>
      </c>
      <c r="M100" s="216">
        <f t="shared" si="24"/>
        <v>0</v>
      </c>
      <c r="N100" s="165">
        <f t="shared" si="25"/>
        <v>0</v>
      </c>
      <c r="O100" s="1360"/>
    </row>
    <row r="101" spans="1:15" ht="21" customHeight="1" thickBot="1" x14ac:dyDescent="0.25">
      <c r="A101" s="1517"/>
      <c r="B101" s="1464" t="s">
        <v>176</v>
      </c>
      <c r="C101" s="1465"/>
      <c r="D101" s="1466"/>
      <c r="E101" s="166">
        <f>SUM(E97:E100)</f>
        <v>0</v>
      </c>
      <c r="F101" s="142" t="str">
        <f t="shared" si="17"/>
        <v/>
      </c>
      <c r="G101" s="166">
        <f>SUM(G97:G100)</f>
        <v>0</v>
      </c>
      <c r="H101" s="142" t="str">
        <f t="shared" si="18"/>
        <v/>
      </c>
      <c r="I101" s="211" t="str">
        <f t="shared" si="19"/>
        <v/>
      </c>
      <c r="J101" s="166">
        <f>SUM(J97:J100)</f>
        <v>0</v>
      </c>
      <c r="K101" s="142" t="str">
        <f t="shared" si="20"/>
        <v/>
      </c>
      <c r="L101" s="211" t="str">
        <f t="shared" si="23"/>
        <v/>
      </c>
      <c r="M101" s="168">
        <f t="shared" si="24"/>
        <v>0</v>
      </c>
      <c r="N101" s="168">
        <f t="shared" si="25"/>
        <v>0</v>
      </c>
      <c r="O101" s="1346"/>
    </row>
    <row r="102" spans="1:15" ht="15" customHeight="1" x14ac:dyDescent="0.2">
      <c r="A102" s="1517"/>
      <c r="B102" s="1417" t="s">
        <v>222</v>
      </c>
      <c r="C102" s="217" t="s">
        <v>153</v>
      </c>
      <c r="D102" s="917" t="s">
        <v>32</v>
      </c>
      <c r="E102" s="914"/>
      <c r="F102" s="212" t="str">
        <f t="shared" si="17"/>
        <v/>
      </c>
      <c r="G102" s="914"/>
      <c r="H102" s="212" t="str">
        <f t="shared" si="18"/>
        <v/>
      </c>
      <c r="I102" s="213" t="str">
        <f t="shared" si="19"/>
        <v/>
      </c>
      <c r="J102" s="914"/>
      <c r="K102" s="212" t="str">
        <f t="shared" si="20"/>
        <v/>
      </c>
      <c r="L102" s="213" t="str">
        <f>IF(G102*J102=0,"",J102/G102)</f>
        <v/>
      </c>
      <c r="M102" s="214">
        <f t="shared" si="24"/>
        <v>0</v>
      </c>
      <c r="N102" s="214">
        <f t="shared" si="25"/>
        <v>0</v>
      </c>
      <c r="O102" s="1369"/>
    </row>
    <row r="103" spans="1:15" ht="15" customHeight="1" x14ac:dyDescent="0.2">
      <c r="A103" s="1517"/>
      <c r="B103" s="1418"/>
      <c r="C103" s="218" t="s">
        <v>477</v>
      </c>
      <c r="D103" s="1324" t="s">
        <v>175</v>
      </c>
      <c r="E103" s="889"/>
      <c r="F103" s="1328" t="str">
        <f t="shared" si="17"/>
        <v/>
      </c>
      <c r="G103" s="889"/>
      <c r="H103" s="1328" t="str">
        <f t="shared" si="18"/>
        <v/>
      </c>
      <c r="I103" s="208" t="str">
        <f t="shared" si="19"/>
        <v/>
      </c>
      <c r="J103" s="889"/>
      <c r="K103" s="1328" t="str">
        <f t="shared" si="20"/>
        <v/>
      </c>
      <c r="L103" s="208" t="str">
        <f>IF(G103*J103=0,"",J103/G103)</f>
        <v/>
      </c>
      <c r="M103" s="124">
        <f t="shared" si="24"/>
        <v>0</v>
      </c>
      <c r="N103" s="124">
        <f t="shared" si="25"/>
        <v>0</v>
      </c>
      <c r="O103" s="1359"/>
    </row>
    <row r="104" spans="1:15" ht="15" customHeight="1" x14ac:dyDescent="0.2">
      <c r="A104" s="1517"/>
      <c r="B104" s="1418"/>
      <c r="C104" s="218" t="s">
        <v>478</v>
      </c>
      <c r="D104" s="918" t="s">
        <v>37</v>
      </c>
      <c r="E104" s="889"/>
      <c r="F104" s="122" t="str">
        <f t="shared" si="17"/>
        <v/>
      </c>
      <c r="G104" s="889"/>
      <c r="H104" s="122" t="str">
        <f t="shared" si="18"/>
        <v/>
      </c>
      <c r="I104" s="208" t="str">
        <f t="shared" si="19"/>
        <v/>
      </c>
      <c r="J104" s="889"/>
      <c r="K104" s="122" t="str">
        <f t="shared" si="20"/>
        <v/>
      </c>
      <c r="L104" s="208" t="str">
        <f>IF(G104*J104=0,"",J104/G104)</f>
        <v/>
      </c>
      <c r="M104" s="124">
        <f t="shared" si="24"/>
        <v>0</v>
      </c>
      <c r="N104" s="124">
        <f t="shared" si="25"/>
        <v>0</v>
      </c>
      <c r="O104" s="1359"/>
    </row>
    <row r="105" spans="1:15" ht="15" customHeight="1" x14ac:dyDescent="0.2">
      <c r="A105" s="1517"/>
      <c r="B105" s="1418"/>
      <c r="C105" s="276" t="s">
        <v>509</v>
      </c>
      <c r="D105" s="915" t="s">
        <v>755</v>
      </c>
      <c r="E105" s="889"/>
      <c r="F105" s="122" t="str">
        <f t="shared" si="17"/>
        <v/>
      </c>
      <c r="G105" s="889"/>
      <c r="H105" s="122" t="str">
        <f t="shared" si="18"/>
        <v/>
      </c>
      <c r="I105" s="208" t="str">
        <f t="shared" si="19"/>
        <v/>
      </c>
      <c r="J105" s="889"/>
      <c r="K105" s="122" t="str">
        <f t="shared" si="20"/>
        <v/>
      </c>
      <c r="L105" s="208" t="str">
        <f>IF(G105*J105=0,"",J105/G105)</f>
        <v/>
      </c>
      <c r="M105" s="124">
        <f t="shared" si="24"/>
        <v>0</v>
      </c>
      <c r="N105" s="124">
        <f t="shared" si="25"/>
        <v>0</v>
      </c>
      <c r="O105" s="1359"/>
    </row>
    <row r="106" spans="1:15" ht="15" customHeight="1" x14ac:dyDescent="0.2">
      <c r="A106" s="1517"/>
      <c r="B106" s="1418"/>
      <c r="C106" s="276" t="s">
        <v>366</v>
      </c>
      <c r="D106" s="915" t="s">
        <v>766</v>
      </c>
      <c r="E106" s="889"/>
      <c r="F106" s="122" t="str">
        <f t="shared" si="17"/>
        <v/>
      </c>
      <c r="G106" s="889"/>
      <c r="H106" s="122" t="str">
        <f t="shared" si="18"/>
        <v/>
      </c>
      <c r="I106" s="208" t="str">
        <f t="shared" si="19"/>
        <v/>
      </c>
      <c r="J106" s="889"/>
      <c r="K106" s="122" t="str">
        <f t="shared" si="20"/>
        <v/>
      </c>
      <c r="L106" s="208" t="str">
        <f>IF(G106*J106=0,"",J106/G106)</f>
        <v/>
      </c>
      <c r="M106" s="124">
        <f t="shared" si="24"/>
        <v>0</v>
      </c>
      <c r="N106" s="124">
        <f t="shared" si="25"/>
        <v>0</v>
      </c>
      <c r="O106" s="1359"/>
    </row>
    <row r="107" spans="1:15" ht="15" customHeight="1" x14ac:dyDescent="0.2">
      <c r="A107" s="1517"/>
      <c r="B107" s="1418"/>
      <c r="C107" s="276" t="s">
        <v>153</v>
      </c>
      <c r="D107" s="915" t="s">
        <v>692</v>
      </c>
      <c r="E107" s="889"/>
      <c r="F107" s="122" t="str">
        <f t="shared" si="17"/>
        <v/>
      </c>
      <c r="G107" s="889"/>
      <c r="H107" s="122" t="str">
        <f t="shared" si="18"/>
        <v/>
      </c>
      <c r="I107" s="208" t="str">
        <f t="shared" si="19"/>
        <v/>
      </c>
      <c r="J107" s="889"/>
      <c r="K107" s="122" t="str">
        <f t="shared" si="20"/>
        <v/>
      </c>
      <c r="L107" s="208" t="str">
        <f t="shared" si="23"/>
        <v/>
      </c>
      <c r="M107" s="124">
        <f t="shared" si="21"/>
        <v>0</v>
      </c>
      <c r="N107" s="124">
        <f t="shared" si="22"/>
        <v>0</v>
      </c>
      <c r="O107" s="1359"/>
    </row>
    <row r="108" spans="1:15" ht="15" customHeight="1" x14ac:dyDescent="0.2">
      <c r="A108" s="1517"/>
      <c r="B108" s="1418"/>
      <c r="C108" s="276" t="s">
        <v>366</v>
      </c>
      <c r="D108" s="915" t="s">
        <v>692</v>
      </c>
      <c r="E108" s="889"/>
      <c r="F108" s="122" t="str">
        <f t="shared" si="17"/>
        <v/>
      </c>
      <c r="G108" s="889"/>
      <c r="H108" s="122" t="str">
        <f t="shared" si="18"/>
        <v/>
      </c>
      <c r="I108" s="208" t="str">
        <f t="shared" si="19"/>
        <v/>
      </c>
      <c r="J108" s="889"/>
      <c r="K108" s="122" t="str">
        <f t="shared" si="20"/>
        <v/>
      </c>
      <c r="L108" s="208" t="str">
        <f t="shared" si="23"/>
        <v/>
      </c>
      <c r="M108" s="124">
        <f t="shared" si="21"/>
        <v>0</v>
      </c>
      <c r="N108" s="124">
        <f t="shared" si="22"/>
        <v>0</v>
      </c>
      <c r="O108" s="1359"/>
    </row>
    <row r="109" spans="1:15" ht="15" customHeight="1" x14ac:dyDescent="0.2">
      <c r="A109" s="1517"/>
      <c r="B109" s="1418"/>
      <c r="C109" s="276" t="s">
        <v>476</v>
      </c>
      <c r="D109" s="915" t="s">
        <v>692</v>
      </c>
      <c r="E109" s="889"/>
      <c r="F109" s="122" t="str">
        <f t="shared" si="17"/>
        <v/>
      </c>
      <c r="G109" s="889"/>
      <c r="H109" s="122" t="str">
        <f t="shared" si="18"/>
        <v/>
      </c>
      <c r="I109" s="208" t="str">
        <f t="shared" si="19"/>
        <v/>
      </c>
      <c r="J109" s="889"/>
      <c r="K109" s="122" t="str">
        <f t="shared" si="20"/>
        <v/>
      </c>
      <c r="L109" s="208" t="str">
        <f t="shared" si="23"/>
        <v/>
      </c>
      <c r="M109" s="124">
        <f t="shared" si="21"/>
        <v>0</v>
      </c>
      <c r="N109" s="124">
        <f t="shared" si="22"/>
        <v>0</v>
      </c>
      <c r="O109" s="1359"/>
    </row>
    <row r="110" spans="1:15" ht="15" customHeight="1" x14ac:dyDescent="0.2">
      <c r="A110" s="1517"/>
      <c r="B110" s="1418"/>
      <c r="C110" s="276" t="s">
        <v>153</v>
      </c>
      <c r="D110" s="915" t="s">
        <v>692</v>
      </c>
      <c r="E110" s="889"/>
      <c r="F110" s="122" t="str">
        <f t="shared" si="17"/>
        <v/>
      </c>
      <c r="G110" s="889"/>
      <c r="H110" s="122" t="str">
        <f t="shared" si="18"/>
        <v/>
      </c>
      <c r="I110" s="208" t="str">
        <f t="shared" si="19"/>
        <v/>
      </c>
      <c r="J110" s="889"/>
      <c r="K110" s="122" t="str">
        <f t="shared" si="20"/>
        <v/>
      </c>
      <c r="L110" s="208" t="str">
        <f t="shared" si="23"/>
        <v/>
      </c>
      <c r="M110" s="124">
        <f t="shared" si="21"/>
        <v>0</v>
      </c>
      <c r="N110" s="124">
        <f t="shared" si="22"/>
        <v>0</v>
      </c>
      <c r="O110" s="1359"/>
    </row>
    <row r="111" spans="1:15" ht="15" customHeight="1" x14ac:dyDescent="0.2">
      <c r="A111" s="1517"/>
      <c r="B111" s="1418"/>
      <c r="C111" s="276" t="s">
        <v>153</v>
      </c>
      <c r="D111" s="915" t="s">
        <v>692</v>
      </c>
      <c r="E111" s="889"/>
      <c r="F111" s="122" t="str">
        <f t="shared" si="17"/>
        <v/>
      </c>
      <c r="G111" s="889"/>
      <c r="H111" s="122" t="str">
        <f t="shared" si="18"/>
        <v/>
      </c>
      <c r="I111" s="208" t="str">
        <f t="shared" si="19"/>
        <v/>
      </c>
      <c r="J111" s="889"/>
      <c r="K111" s="122" t="str">
        <f t="shared" si="20"/>
        <v/>
      </c>
      <c r="L111" s="208" t="str">
        <f t="shared" si="23"/>
        <v/>
      </c>
      <c r="M111" s="124">
        <f t="shared" si="21"/>
        <v>0</v>
      </c>
      <c r="N111" s="124">
        <f t="shared" si="22"/>
        <v>0</v>
      </c>
      <c r="O111" s="1359"/>
    </row>
    <row r="112" spans="1:15" ht="15" customHeight="1" x14ac:dyDescent="0.2">
      <c r="A112" s="1517"/>
      <c r="B112" s="1418"/>
      <c r="C112" s="276" t="s">
        <v>153</v>
      </c>
      <c r="D112" s="915" t="s">
        <v>692</v>
      </c>
      <c r="E112" s="889"/>
      <c r="F112" s="122" t="str">
        <f t="shared" si="17"/>
        <v/>
      </c>
      <c r="G112" s="889"/>
      <c r="H112" s="122" t="str">
        <f t="shared" si="18"/>
        <v/>
      </c>
      <c r="I112" s="208" t="str">
        <f t="shared" si="19"/>
        <v/>
      </c>
      <c r="J112" s="889"/>
      <c r="K112" s="122" t="str">
        <f t="shared" si="20"/>
        <v/>
      </c>
      <c r="L112" s="208" t="str">
        <f t="shared" si="23"/>
        <v/>
      </c>
      <c r="M112" s="124">
        <f t="shared" si="21"/>
        <v>0</v>
      </c>
      <c r="N112" s="124">
        <f t="shared" si="22"/>
        <v>0</v>
      </c>
      <c r="O112" s="1359"/>
    </row>
    <row r="113" spans="1:15" ht="15" customHeight="1" x14ac:dyDescent="0.2">
      <c r="A113" s="1517"/>
      <c r="B113" s="1418"/>
      <c r="C113" s="276" t="s">
        <v>479</v>
      </c>
      <c r="D113" s="915" t="s">
        <v>692</v>
      </c>
      <c r="E113" s="889"/>
      <c r="F113" s="122" t="str">
        <f t="shared" si="17"/>
        <v/>
      </c>
      <c r="G113" s="889"/>
      <c r="H113" s="122" t="str">
        <f t="shared" si="18"/>
        <v/>
      </c>
      <c r="I113" s="208" t="str">
        <f t="shared" si="19"/>
        <v/>
      </c>
      <c r="J113" s="889"/>
      <c r="K113" s="122" t="str">
        <f t="shared" si="20"/>
        <v/>
      </c>
      <c r="L113" s="208" t="str">
        <f t="shared" si="23"/>
        <v/>
      </c>
      <c r="M113" s="124">
        <f t="shared" si="21"/>
        <v>0</v>
      </c>
      <c r="N113" s="124">
        <f t="shared" si="22"/>
        <v>0</v>
      </c>
      <c r="O113" s="1359"/>
    </row>
    <row r="114" spans="1:15" ht="15" customHeight="1" x14ac:dyDescent="0.2">
      <c r="A114" s="1517"/>
      <c r="B114" s="1418"/>
      <c r="C114" s="276" t="s">
        <v>153</v>
      </c>
      <c r="D114" s="915" t="s">
        <v>692</v>
      </c>
      <c r="E114" s="889"/>
      <c r="F114" s="122" t="str">
        <f t="shared" si="17"/>
        <v/>
      </c>
      <c r="G114" s="889"/>
      <c r="H114" s="122" t="str">
        <f t="shared" si="18"/>
        <v/>
      </c>
      <c r="I114" s="208" t="str">
        <f t="shared" si="19"/>
        <v/>
      </c>
      <c r="J114" s="889"/>
      <c r="K114" s="122" t="str">
        <f t="shared" si="20"/>
        <v/>
      </c>
      <c r="L114" s="208" t="str">
        <f t="shared" si="23"/>
        <v/>
      </c>
      <c r="M114" s="124">
        <f t="shared" si="21"/>
        <v>0</v>
      </c>
      <c r="N114" s="124">
        <f t="shared" si="22"/>
        <v>0</v>
      </c>
      <c r="O114" s="1359"/>
    </row>
    <row r="115" spans="1:15" ht="15" customHeight="1" x14ac:dyDescent="0.2">
      <c r="A115" s="1517"/>
      <c r="B115" s="1418"/>
      <c r="C115" s="276" t="s">
        <v>153</v>
      </c>
      <c r="D115" s="915" t="s">
        <v>692</v>
      </c>
      <c r="E115" s="889"/>
      <c r="F115" s="122" t="str">
        <f t="shared" si="17"/>
        <v/>
      </c>
      <c r="G115" s="889"/>
      <c r="H115" s="122" t="str">
        <f t="shared" si="18"/>
        <v/>
      </c>
      <c r="I115" s="208" t="str">
        <f t="shared" si="19"/>
        <v/>
      </c>
      <c r="J115" s="889"/>
      <c r="K115" s="122" t="str">
        <f t="shared" si="20"/>
        <v/>
      </c>
      <c r="L115" s="208" t="str">
        <f t="shared" si="23"/>
        <v/>
      </c>
      <c r="M115" s="124">
        <f t="shared" si="21"/>
        <v>0</v>
      </c>
      <c r="N115" s="124">
        <f t="shared" si="22"/>
        <v>0</v>
      </c>
      <c r="O115" s="1359"/>
    </row>
    <row r="116" spans="1:15" ht="15" customHeight="1" thickBot="1" x14ac:dyDescent="0.25">
      <c r="A116" s="1517"/>
      <c r="B116" s="1419"/>
      <c r="C116" s="277" t="s">
        <v>693</v>
      </c>
      <c r="D116" s="916" t="s">
        <v>692</v>
      </c>
      <c r="E116" s="911"/>
      <c r="F116" s="162" t="str">
        <f t="shared" si="17"/>
        <v/>
      </c>
      <c r="G116" s="911"/>
      <c r="H116" s="162" t="str">
        <f t="shared" si="18"/>
        <v/>
      </c>
      <c r="I116" s="210" t="str">
        <f t="shared" si="19"/>
        <v/>
      </c>
      <c r="J116" s="911"/>
      <c r="K116" s="162" t="str">
        <f t="shared" si="20"/>
        <v/>
      </c>
      <c r="L116" s="210" t="str">
        <f t="shared" si="23"/>
        <v/>
      </c>
      <c r="M116" s="216">
        <f t="shared" si="21"/>
        <v>0</v>
      </c>
      <c r="N116" s="216">
        <f t="shared" si="22"/>
        <v>0</v>
      </c>
      <c r="O116" s="1360"/>
    </row>
    <row r="117" spans="1:15" ht="21" customHeight="1" thickBot="1" x14ac:dyDescent="0.25">
      <c r="A117" s="1517"/>
      <c r="B117" s="1464" t="s">
        <v>39</v>
      </c>
      <c r="C117" s="1465"/>
      <c r="D117" s="1466"/>
      <c r="E117" s="166">
        <f>SUM(E102:E116)</f>
        <v>0</v>
      </c>
      <c r="F117" s="142" t="str">
        <f t="shared" si="17"/>
        <v/>
      </c>
      <c r="G117" s="166">
        <f>SUM(G102:G116)</f>
        <v>0</v>
      </c>
      <c r="H117" s="142" t="str">
        <f t="shared" si="18"/>
        <v/>
      </c>
      <c r="I117" s="211" t="str">
        <f t="shared" si="19"/>
        <v/>
      </c>
      <c r="J117" s="166">
        <f>SUM(J102:J116)</f>
        <v>0</v>
      </c>
      <c r="K117" s="142" t="str">
        <f t="shared" si="20"/>
        <v/>
      </c>
      <c r="L117" s="211" t="str">
        <f t="shared" si="23"/>
        <v/>
      </c>
      <c r="M117" s="168">
        <f>G117-E117</f>
        <v>0</v>
      </c>
      <c r="N117" s="168">
        <f t="shared" si="22"/>
        <v>0</v>
      </c>
      <c r="O117" s="1345"/>
    </row>
    <row r="118" spans="1:15" ht="15" customHeight="1" x14ac:dyDescent="0.2">
      <c r="A118" s="1517"/>
      <c r="B118" s="1483" t="s">
        <v>108</v>
      </c>
      <c r="C118" s="1484"/>
      <c r="D118" s="1485"/>
      <c r="E118" s="1347"/>
      <c r="F118" s="219" t="str">
        <f t="shared" si="17"/>
        <v/>
      </c>
      <c r="G118" s="1347"/>
      <c r="H118" s="219" t="str">
        <f t="shared" si="18"/>
        <v/>
      </c>
      <c r="I118" s="220" t="str">
        <f t="shared" si="19"/>
        <v/>
      </c>
      <c r="J118" s="1347"/>
      <c r="K118" s="219" t="str">
        <f t="shared" si="20"/>
        <v/>
      </c>
      <c r="L118" s="220" t="str">
        <f t="shared" si="23"/>
        <v/>
      </c>
      <c r="M118" s="221">
        <f t="shared" si="21"/>
        <v>0</v>
      </c>
      <c r="N118" s="221">
        <f t="shared" si="22"/>
        <v>0</v>
      </c>
      <c r="O118" s="1374"/>
    </row>
    <row r="119" spans="1:15" ht="15" customHeight="1" x14ac:dyDescent="0.2">
      <c r="A119" s="1517"/>
      <c r="B119" s="1480" t="s">
        <v>196</v>
      </c>
      <c r="C119" s="1481"/>
      <c r="D119" s="1482"/>
      <c r="E119" s="897">
        <f>E96+E101+E117+E118</f>
        <v>0</v>
      </c>
      <c r="F119" s="132" t="str">
        <f t="shared" si="17"/>
        <v/>
      </c>
      <c r="G119" s="897">
        <f>G96+G101+G117+G118</f>
        <v>0</v>
      </c>
      <c r="H119" s="132" t="str">
        <f t="shared" si="18"/>
        <v/>
      </c>
      <c r="I119" s="222" t="str">
        <f t="shared" si="19"/>
        <v/>
      </c>
      <c r="J119" s="897">
        <f>J96+J101+J117+J118</f>
        <v>0</v>
      </c>
      <c r="K119" s="132" t="str">
        <f t="shared" si="20"/>
        <v/>
      </c>
      <c r="L119" s="222" t="str">
        <f t="shared" si="23"/>
        <v/>
      </c>
      <c r="M119" s="223">
        <f t="shared" si="21"/>
        <v>0</v>
      </c>
      <c r="N119" s="223">
        <f t="shared" si="22"/>
        <v>0</v>
      </c>
      <c r="O119" s="1363"/>
    </row>
    <row r="120" spans="1:15" ht="15" customHeight="1" x14ac:dyDescent="0.2">
      <c r="A120" s="1517"/>
      <c r="B120" s="1433" t="s">
        <v>109</v>
      </c>
      <c r="C120" s="1587"/>
      <c r="D120" s="1434"/>
      <c r="E120" s="1322"/>
      <c r="F120" s="118" t="str">
        <f t="shared" si="17"/>
        <v/>
      </c>
      <c r="G120" s="1322"/>
      <c r="H120" s="118" t="str">
        <f t="shared" si="18"/>
        <v/>
      </c>
      <c r="I120" s="192" t="str">
        <f t="shared" si="19"/>
        <v/>
      </c>
      <c r="J120" s="1322"/>
      <c r="K120" s="118" t="str">
        <f t="shared" si="20"/>
        <v/>
      </c>
      <c r="L120" s="192" t="str">
        <f t="shared" si="23"/>
        <v/>
      </c>
      <c r="M120" s="193">
        <f t="shared" si="21"/>
        <v>0</v>
      </c>
      <c r="N120" s="193">
        <f t="shared" si="22"/>
        <v>0</v>
      </c>
      <c r="O120" s="1375"/>
    </row>
    <row r="121" spans="1:15" ht="15" customHeight="1" x14ac:dyDescent="0.2">
      <c r="A121" s="1517"/>
      <c r="B121" s="1435" t="s">
        <v>171</v>
      </c>
      <c r="C121" s="1583"/>
      <c r="D121" s="1436"/>
      <c r="E121" s="889"/>
      <c r="F121" s="122" t="str">
        <f t="shared" si="17"/>
        <v/>
      </c>
      <c r="G121" s="889"/>
      <c r="H121" s="122" t="str">
        <f t="shared" si="18"/>
        <v/>
      </c>
      <c r="I121" s="208" t="str">
        <f>IF(E121*G121=0,"",G121/E121)</f>
        <v/>
      </c>
      <c r="J121" s="889"/>
      <c r="K121" s="122" t="str">
        <f t="shared" si="20"/>
        <v/>
      </c>
      <c r="L121" s="208" t="str">
        <f>IF(G121*J121=0,"",J121/G121)</f>
        <v/>
      </c>
      <c r="M121" s="161">
        <f>G121-E121</f>
        <v>0</v>
      </c>
      <c r="N121" s="161">
        <f>J121-G121</f>
        <v>0</v>
      </c>
      <c r="O121" s="1359"/>
    </row>
    <row r="122" spans="1:15" ht="15" customHeight="1" thickBot="1" x14ac:dyDescent="0.25">
      <c r="A122" s="1517"/>
      <c r="B122" s="1584" t="s">
        <v>480</v>
      </c>
      <c r="C122" s="1585"/>
      <c r="D122" s="1586"/>
      <c r="E122" s="919">
        <f>E118-E120</f>
        <v>0</v>
      </c>
      <c r="F122" s="225" t="str">
        <f t="shared" si="17"/>
        <v/>
      </c>
      <c r="G122" s="919">
        <f>G118-G120</f>
        <v>0</v>
      </c>
      <c r="H122" s="225" t="str">
        <f t="shared" si="18"/>
        <v/>
      </c>
      <c r="I122" s="226" t="str">
        <f t="shared" si="19"/>
        <v/>
      </c>
      <c r="J122" s="919">
        <f>J118-J120</f>
        <v>0</v>
      </c>
      <c r="K122" s="225" t="str">
        <f t="shared" si="20"/>
        <v/>
      </c>
      <c r="L122" s="226" t="str">
        <f t="shared" si="23"/>
        <v/>
      </c>
      <c r="M122" s="227">
        <f t="shared" si="21"/>
        <v>0</v>
      </c>
      <c r="N122" s="227">
        <f t="shared" si="22"/>
        <v>0</v>
      </c>
      <c r="O122" s="1370"/>
    </row>
    <row r="123" spans="1:15" ht="21" customHeight="1" thickBot="1" x14ac:dyDescent="0.25">
      <c r="A123" s="1518"/>
      <c r="B123" s="1464" t="s">
        <v>41</v>
      </c>
      <c r="C123" s="1465"/>
      <c r="D123" s="1466"/>
      <c r="E123" s="166">
        <f>E119-E120-E121</f>
        <v>0</v>
      </c>
      <c r="F123" s="142" t="str">
        <f t="shared" si="17"/>
        <v/>
      </c>
      <c r="G123" s="166">
        <f>G119-G120-G121</f>
        <v>0</v>
      </c>
      <c r="H123" s="142" t="str">
        <f t="shared" si="18"/>
        <v/>
      </c>
      <c r="I123" s="211" t="str">
        <f t="shared" si="19"/>
        <v/>
      </c>
      <c r="J123" s="166">
        <f>J119-J120-J121</f>
        <v>0</v>
      </c>
      <c r="K123" s="142" t="str">
        <f t="shared" si="20"/>
        <v/>
      </c>
      <c r="L123" s="211" t="str">
        <f t="shared" si="23"/>
        <v/>
      </c>
      <c r="M123" s="168">
        <f t="shared" si="21"/>
        <v>0</v>
      </c>
      <c r="N123" s="168">
        <f t="shared" si="22"/>
        <v>0</v>
      </c>
      <c r="O123" s="1361"/>
    </row>
    <row r="124" spans="1:15" x14ac:dyDescent="0.2">
      <c r="C124" s="103"/>
      <c r="G124" s="103"/>
      <c r="M124" s="197"/>
      <c r="N124" s="197"/>
    </row>
    <row r="125" spans="1:15" ht="17.25" customHeight="1" x14ac:dyDescent="0.2">
      <c r="A125" s="103"/>
      <c r="C125" s="103"/>
      <c r="F125" s="1580" t="s">
        <v>223</v>
      </c>
      <c r="G125" s="1579"/>
      <c r="H125" s="1579"/>
      <c r="I125" s="1579"/>
      <c r="J125" s="1579"/>
      <c r="K125" s="1579"/>
      <c r="L125" s="1579"/>
      <c r="M125" s="1579"/>
      <c r="N125" s="1579"/>
    </row>
    <row r="126" spans="1:15" x14ac:dyDescent="0.2">
      <c r="C126" s="103"/>
      <c r="G126" s="103"/>
      <c r="M126" s="197"/>
      <c r="N126" s="197"/>
      <c r="O126" s="1349" t="s">
        <v>0</v>
      </c>
    </row>
    <row r="127" spans="1:15" ht="30" customHeight="1" x14ac:dyDescent="0.2">
      <c r="A127" s="1467" t="s">
        <v>162</v>
      </c>
      <c r="B127" s="1506"/>
      <c r="C127" s="1506"/>
      <c r="D127" s="1506"/>
      <c r="E127" s="200" t="str">
        <f>E4</f>
        <v>2020年2月1日～
2021年1月31日</v>
      </c>
      <c r="F127" s="201" t="s">
        <v>1</v>
      </c>
      <c r="G127" s="200" t="str">
        <f>G4</f>
        <v>2021年2月1日～2022年1月31日</v>
      </c>
      <c r="H127" s="107" t="s">
        <v>1</v>
      </c>
      <c r="I127" s="110" t="s">
        <v>470</v>
      </c>
      <c r="J127" s="200" t="str">
        <f>J4</f>
        <v>2022年2月1日～2023年1月31日</v>
      </c>
      <c r="K127" s="107" t="s">
        <v>1</v>
      </c>
      <c r="L127" s="110" t="s">
        <v>200</v>
      </c>
      <c r="M127" s="1443" t="s">
        <v>201</v>
      </c>
      <c r="N127" s="1444"/>
      <c r="O127" s="1557" t="s">
        <v>2</v>
      </c>
    </row>
    <row r="128" spans="1:15" ht="15" customHeight="1" thickBot="1" x14ac:dyDescent="0.25">
      <c r="A128" s="1559"/>
      <c r="B128" s="1560"/>
      <c r="C128" s="1560"/>
      <c r="D128" s="1560"/>
      <c r="E128" s="200" t="str">
        <f>E5</f>
        <v>前々期</v>
      </c>
      <c r="F128" s="228" t="s">
        <v>4</v>
      </c>
      <c r="G128" s="200" t="str">
        <f>G5</f>
        <v>前期</v>
      </c>
      <c r="H128" s="112" t="s">
        <v>4</v>
      </c>
      <c r="I128" s="114" t="s">
        <v>4</v>
      </c>
      <c r="J128" s="200" t="str">
        <f>J5</f>
        <v>今期</v>
      </c>
      <c r="K128" s="112" t="s">
        <v>4</v>
      </c>
      <c r="L128" s="114" t="s">
        <v>4</v>
      </c>
      <c r="M128" s="115" t="str">
        <f>G128</f>
        <v>前期</v>
      </c>
      <c r="N128" s="115" t="str">
        <f>J128</f>
        <v>今期</v>
      </c>
      <c r="O128" s="1558"/>
    </row>
    <row r="129" spans="1:16" ht="22.5" customHeight="1" thickBot="1" x14ac:dyDescent="0.25">
      <c r="A129" s="1464" t="s">
        <v>5</v>
      </c>
      <c r="B129" s="1521"/>
      <c r="C129" s="1521"/>
      <c r="D129" s="1561"/>
      <c r="E129" s="920"/>
      <c r="F129" s="142" t="str">
        <f>IF(E129=0,"",E129/E$129)</f>
        <v/>
      </c>
      <c r="G129" s="920"/>
      <c r="H129" s="142" t="str">
        <f>IF(G129=0,"",G129/G$129)</f>
        <v/>
      </c>
      <c r="I129" s="211" t="str">
        <f t="shared" ref="I129:I171" si="26">IF(E129*G129=0,"",G129/E129)</f>
        <v/>
      </c>
      <c r="J129" s="920"/>
      <c r="K129" s="142" t="str">
        <f>IF(J129=0,"",J129/J$129)</f>
        <v/>
      </c>
      <c r="L129" s="211" t="str">
        <f t="shared" ref="L129:L171" si="27">IF(G129*J129=0,"",J129/G129)</f>
        <v/>
      </c>
      <c r="M129" s="168">
        <f t="shared" ref="M129:M135" si="28">G129-E129</f>
        <v>0</v>
      </c>
      <c r="N129" s="229">
        <f t="shared" ref="N129:N135" si="29">J129-G129</f>
        <v>0</v>
      </c>
      <c r="O129" s="1345"/>
    </row>
    <row r="130" spans="1:16" ht="15" customHeight="1" x14ac:dyDescent="0.2">
      <c r="A130" s="1522" t="s">
        <v>42</v>
      </c>
      <c r="B130" s="1523"/>
      <c r="C130" s="1548" t="s">
        <v>522</v>
      </c>
      <c r="D130" s="1549"/>
      <c r="E130" s="912"/>
      <c r="F130" s="147" t="str">
        <f t="shared" ref="F130:F174" si="30">IF(E130=0,"",E130/E$129)</f>
        <v/>
      </c>
      <c r="G130" s="912"/>
      <c r="H130" s="147" t="str">
        <f t="shared" ref="H130:H171" si="31">IF(G130=0,"",G130/G$129)</f>
        <v/>
      </c>
      <c r="I130" s="230" t="str">
        <f t="shared" si="26"/>
        <v/>
      </c>
      <c r="J130" s="912"/>
      <c r="K130" s="147" t="str">
        <f t="shared" ref="K130:K135" si="32">IF(J130=0,"",J130/J$129)</f>
        <v/>
      </c>
      <c r="L130" s="230" t="str">
        <f t="shared" si="27"/>
        <v/>
      </c>
      <c r="M130" s="169">
        <f t="shared" si="28"/>
        <v>0</v>
      </c>
      <c r="N130" s="231">
        <f t="shared" si="29"/>
        <v>0</v>
      </c>
      <c r="O130" s="1371"/>
    </row>
    <row r="131" spans="1:16" ht="15" customHeight="1" x14ac:dyDescent="0.2">
      <c r="A131" s="1524"/>
      <c r="B131" s="1523"/>
      <c r="C131" s="1546" t="s">
        <v>43</v>
      </c>
      <c r="D131" s="1547"/>
      <c r="E131" s="889"/>
      <c r="F131" s="122" t="str">
        <f t="shared" si="30"/>
        <v/>
      </c>
      <c r="G131" s="889"/>
      <c r="H131" s="122" t="str">
        <f t="shared" si="31"/>
        <v/>
      </c>
      <c r="I131" s="208" t="str">
        <f t="shared" si="26"/>
        <v/>
      </c>
      <c r="J131" s="889"/>
      <c r="K131" s="122" t="str">
        <f t="shared" si="32"/>
        <v/>
      </c>
      <c r="L131" s="208" t="str">
        <f t="shared" si="27"/>
        <v/>
      </c>
      <c r="M131" s="161">
        <f t="shared" si="28"/>
        <v>0</v>
      </c>
      <c r="N131" s="233">
        <f t="shared" si="29"/>
        <v>0</v>
      </c>
      <c r="O131" s="1359"/>
    </row>
    <row r="132" spans="1:16" ht="15" customHeight="1" x14ac:dyDescent="0.2">
      <c r="A132" s="1524"/>
      <c r="B132" s="1523"/>
      <c r="C132" s="1546" t="s">
        <v>41</v>
      </c>
      <c r="D132" s="1547"/>
      <c r="E132" s="953">
        <f>E123</f>
        <v>0</v>
      </c>
      <c r="F132" s="122" t="str">
        <f t="shared" si="30"/>
        <v/>
      </c>
      <c r="G132" s="953">
        <f>G123</f>
        <v>0</v>
      </c>
      <c r="H132" s="122" t="str">
        <f t="shared" si="31"/>
        <v/>
      </c>
      <c r="I132" s="208" t="str">
        <f t="shared" si="26"/>
        <v/>
      </c>
      <c r="J132" s="953">
        <f>J123</f>
        <v>0</v>
      </c>
      <c r="K132" s="122" t="str">
        <f t="shared" si="32"/>
        <v/>
      </c>
      <c r="L132" s="208" t="str">
        <f t="shared" si="27"/>
        <v/>
      </c>
      <c r="M132" s="161">
        <f t="shared" si="28"/>
        <v>0</v>
      </c>
      <c r="N132" s="233">
        <f t="shared" si="29"/>
        <v>0</v>
      </c>
      <c r="O132" s="1359"/>
    </row>
    <row r="133" spans="1:16" ht="15" customHeight="1" x14ac:dyDescent="0.2">
      <c r="A133" s="1524"/>
      <c r="B133" s="1523"/>
      <c r="C133" s="1576" t="s">
        <v>171</v>
      </c>
      <c r="D133" s="1577"/>
      <c r="E133" s="691"/>
      <c r="F133" s="122" t="str">
        <f t="shared" si="30"/>
        <v/>
      </c>
      <c r="G133" s="691"/>
      <c r="H133" s="122" t="str">
        <f t="shared" si="31"/>
        <v/>
      </c>
      <c r="I133" s="208" t="str">
        <f t="shared" si="26"/>
        <v/>
      </c>
      <c r="J133" s="889"/>
      <c r="K133" s="122" t="str">
        <f t="shared" si="32"/>
        <v/>
      </c>
      <c r="L133" s="208" t="str">
        <f t="shared" si="27"/>
        <v/>
      </c>
      <c r="M133" s="161">
        <f t="shared" si="28"/>
        <v>0</v>
      </c>
      <c r="N133" s="233">
        <f t="shared" si="29"/>
        <v>0</v>
      </c>
      <c r="O133" s="1359"/>
    </row>
    <row r="134" spans="1:16" ht="15" customHeight="1" x14ac:dyDescent="0.2">
      <c r="A134" s="1524"/>
      <c r="B134" s="1523"/>
      <c r="C134" s="1542" t="s">
        <v>523</v>
      </c>
      <c r="D134" s="1543"/>
      <c r="E134" s="889"/>
      <c r="F134" s="122" t="str">
        <f t="shared" si="30"/>
        <v/>
      </c>
      <c r="G134" s="889"/>
      <c r="H134" s="122" t="str">
        <f t="shared" si="31"/>
        <v/>
      </c>
      <c r="I134" s="208" t="str">
        <f t="shared" si="26"/>
        <v/>
      </c>
      <c r="J134" s="1321"/>
      <c r="K134" s="122" t="str">
        <f t="shared" si="32"/>
        <v/>
      </c>
      <c r="L134" s="208" t="str">
        <f t="shared" si="27"/>
        <v/>
      </c>
      <c r="M134" s="161">
        <f t="shared" si="28"/>
        <v>0</v>
      </c>
      <c r="N134" s="233">
        <f t="shared" si="29"/>
        <v>0</v>
      </c>
      <c r="O134" s="1596"/>
    </row>
    <row r="135" spans="1:16" ht="15" customHeight="1" x14ac:dyDescent="0.2">
      <c r="A135" s="1524"/>
      <c r="B135" s="1523"/>
      <c r="C135" s="1544" t="s">
        <v>154</v>
      </c>
      <c r="D135" s="1545"/>
      <c r="E135" s="194">
        <f>E130-E134</f>
        <v>0</v>
      </c>
      <c r="F135" s="127" t="str">
        <f t="shared" si="30"/>
        <v/>
      </c>
      <c r="G135" s="194">
        <f>G130-G134</f>
        <v>0</v>
      </c>
      <c r="H135" s="127" t="str">
        <f t="shared" si="31"/>
        <v/>
      </c>
      <c r="I135" s="195" t="str">
        <f t="shared" si="26"/>
        <v/>
      </c>
      <c r="J135" s="194">
        <f>J130-J134</f>
        <v>0</v>
      </c>
      <c r="K135" s="127" t="str">
        <f t="shared" si="32"/>
        <v/>
      </c>
      <c r="L135" s="195" t="str">
        <f t="shared" si="27"/>
        <v/>
      </c>
      <c r="M135" s="196">
        <f t="shared" si="28"/>
        <v>0</v>
      </c>
      <c r="N135" s="196">
        <f t="shared" si="29"/>
        <v>0</v>
      </c>
      <c r="O135" s="1597"/>
    </row>
    <row r="136" spans="1:16" ht="21.75" customHeight="1" thickBot="1" x14ac:dyDescent="0.25">
      <c r="A136" s="1525"/>
      <c r="B136" s="1526"/>
      <c r="C136" s="237"/>
      <c r="D136" s="238" t="s">
        <v>184</v>
      </c>
      <c r="E136" s="239">
        <f>(E130+E131+E132)-E134-E133</f>
        <v>0</v>
      </c>
      <c r="F136" s="240" t="str">
        <f t="shared" si="30"/>
        <v/>
      </c>
      <c r="G136" s="239">
        <f>(G130+G131+G132)-G134-G133</f>
        <v>0</v>
      </c>
      <c r="H136" s="240" t="str">
        <f t="shared" si="31"/>
        <v/>
      </c>
      <c r="I136" s="241" t="str">
        <f t="shared" si="26"/>
        <v/>
      </c>
      <c r="J136" s="239">
        <f>(J130+J131+J132)-J134-J133</f>
        <v>0</v>
      </c>
      <c r="K136" s="240" t="str">
        <f t="shared" ref="K136:K171" si="33">IF(J136=0,"",J136/J$129)</f>
        <v/>
      </c>
      <c r="L136" s="241" t="str">
        <f t="shared" si="27"/>
        <v/>
      </c>
      <c r="M136" s="242">
        <f t="shared" ref="M136:M171" si="34">G136-E136</f>
        <v>0</v>
      </c>
      <c r="N136" s="243">
        <f t="shared" ref="N136:N171" si="35">J136-G136</f>
        <v>0</v>
      </c>
      <c r="O136" s="1372"/>
    </row>
    <row r="137" spans="1:16" ht="21.75" customHeight="1" thickBot="1" x14ac:dyDescent="0.25">
      <c r="A137" s="1520" t="s">
        <v>44</v>
      </c>
      <c r="B137" s="1521"/>
      <c r="C137" s="1521"/>
      <c r="D137" s="1521"/>
      <c r="E137" s="166">
        <f>E129-E136</f>
        <v>0</v>
      </c>
      <c r="F137" s="142" t="str">
        <f t="shared" si="30"/>
        <v/>
      </c>
      <c r="G137" s="166">
        <f>G129-G136</f>
        <v>0</v>
      </c>
      <c r="H137" s="142" t="str">
        <f t="shared" si="31"/>
        <v/>
      </c>
      <c r="I137" s="211" t="str">
        <f t="shared" si="26"/>
        <v/>
      </c>
      <c r="J137" s="166">
        <f>J129-J136</f>
        <v>0</v>
      </c>
      <c r="K137" s="142" t="str">
        <f t="shared" si="33"/>
        <v/>
      </c>
      <c r="L137" s="211" t="str">
        <f t="shared" si="27"/>
        <v/>
      </c>
      <c r="M137" s="168">
        <f t="shared" si="34"/>
        <v>0</v>
      </c>
      <c r="N137" s="229">
        <f t="shared" si="35"/>
        <v>0</v>
      </c>
      <c r="O137" s="1346"/>
    </row>
    <row r="138" spans="1:16" ht="15" customHeight="1" x14ac:dyDescent="0.2">
      <c r="A138" s="1527" t="s">
        <v>181</v>
      </c>
      <c r="B138" s="1528"/>
      <c r="C138" s="217" t="s">
        <v>479</v>
      </c>
      <c r="D138" s="921" t="s">
        <v>46</v>
      </c>
      <c r="E138" s="914"/>
      <c r="F138" s="212" t="str">
        <f>IF(E138=0,"",E138/E$129)</f>
        <v/>
      </c>
      <c r="G138" s="914"/>
      <c r="H138" s="212" t="str">
        <f t="shared" si="31"/>
        <v/>
      </c>
      <c r="I138" s="213" t="str">
        <f t="shared" si="26"/>
        <v/>
      </c>
      <c r="J138" s="914"/>
      <c r="K138" s="212" t="str">
        <f t="shared" si="33"/>
        <v/>
      </c>
      <c r="L138" s="213" t="str">
        <f t="shared" si="27"/>
        <v/>
      </c>
      <c r="M138" s="215">
        <f t="shared" si="34"/>
        <v>0</v>
      </c>
      <c r="N138" s="244">
        <f t="shared" si="35"/>
        <v>0</v>
      </c>
      <c r="O138" s="1369"/>
    </row>
    <row r="139" spans="1:16" ht="15" customHeight="1" x14ac:dyDescent="0.2">
      <c r="A139" s="1529"/>
      <c r="B139" s="1530"/>
      <c r="C139" s="218" t="s">
        <v>479</v>
      </c>
      <c r="D139" s="1326" t="s">
        <v>47</v>
      </c>
      <c r="E139" s="889"/>
      <c r="F139" s="122" t="str">
        <f t="shared" si="30"/>
        <v/>
      </c>
      <c r="G139" s="889"/>
      <c r="H139" s="122" t="str">
        <f t="shared" si="31"/>
        <v/>
      </c>
      <c r="I139" s="208" t="str">
        <f t="shared" si="26"/>
        <v/>
      </c>
      <c r="J139" s="1321"/>
      <c r="K139" s="122" t="str">
        <f t="shared" si="33"/>
        <v/>
      </c>
      <c r="L139" s="1382" t="str">
        <f t="shared" si="27"/>
        <v/>
      </c>
      <c r="M139" s="161">
        <f t="shared" si="34"/>
        <v>0</v>
      </c>
      <c r="N139" s="233">
        <f t="shared" si="35"/>
        <v>0</v>
      </c>
      <c r="O139" s="1380"/>
    </row>
    <row r="140" spans="1:16" ht="15" customHeight="1" x14ac:dyDescent="0.2">
      <c r="A140" s="1524"/>
      <c r="B140" s="1530"/>
      <c r="C140" s="218" t="s">
        <v>479</v>
      </c>
      <c r="D140" s="599" t="s">
        <v>48</v>
      </c>
      <c r="E140" s="889"/>
      <c r="F140" s="122" t="str">
        <f t="shared" si="30"/>
        <v/>
      </c>
      <c r="G140" s="889"/>
      <c r="H140" s="122" t="str">
        <f t="shared" si="31"/>
        <v/>
      </c>
      <c r="I140" s="208" t="str">
        <f t="shared" si="26"/>
        <v/>
      </c>
      <c r="J140" s="889"/>
      <c r="K140" s="122" t="str">
        <f t="shared" si="33"/>
        <v/>
      </c>
      <c r="L140" s="208" t="str">
        <f t="shared" si="27"/>
        <v/>
      </c>
      <c r="M140" s="161">
        <f t="shared" si="34"/>
        <v>0</v>
      </c>
      <c r="N140" s="233">
        <f t="shared" si="35"/>
        <v>0</v>
      </c>
      <c r="O140" s="1359"/>
    </row>
    <row r="141" spans="1:16" ht="15" customHeight="1" x14ac:dyDescent="0.2">
      <c r="A141" s="1524"/>
      <c r="B141" s="1530"/>
      <c r="C141" s="218" t="s">
        <v>479</v>
      </c>
      <c r="D141" s="1381" t="s">
        <v>690</v>
      </c>
      <c r="E141" s="889"/>
      <c r="F141" s="122" t="str">
        <f t="shared" si="30"/>
        <v/>
      </c>
      <c r="G141" s="889"/>
      <c r="H141" s="122" t="str">
        <f t="shared" si="31"/>
        <v/>
      </c>
      <c r="I141" s="208" t="str">
        <f t="shared" si="26"/>
        <v/>
      </c>
      <c r="J141" s="1321"/>
      <c r="K141" s="122" t="str">
        <f t="shared" si="33"/>
        <v/>
      </c>
      <c r="L141" s="1382" t="str">
        <f t="shared" si="27"/>
        <v/>
      </c>
      <c r="M141" s="161">
        <f t="shared" si="34"/>
        <v>0</v>
      </c>
      <c r="N141" s="233">
        <f t="shared" si="35"/>
        <v>0</v>
      </c>
      <c r="O141" s="1383"/>
      <c r="P141" s="1403"/>
    </row>
    <row r="142" spans="1:16" ht="15" customHeight="1" x14ac:dyDescent="0.2">
      <c r="A142" s="1524"/>
      <c r="B142" s="1530"/>
      <c r="C142" s="218" t="s">
        <v>479</v>
      </c>
      <c r="D142" s="1398" t="s">
        <v>776</v>
      </c>
      <c r="E142" s="1321"/>
      <c r="F142" s="1328" t="str">
        <f t="shared" si="30"/>
        <v/>
      </c>
      <c r="G142" s="1321"/>
      <c r="H142" s="122" t="str">
        <f t="shared" si="31"/>
        <v/>
      </c>
      <c r="I142" s="208" t="str">
        <f t="shared" si="26"/>
        <v/>
      </c>
      <c r="J142" s="1321"/>
      <c r="K142" s="122" t="str">
        <f t="shared" si="33"/>
        <v/>
      </c>
      <c r="L142" s="208" t="str">
        <f t="shared" si="27"/>
        <v/>
      </c>
      <c r="M142" s="161">
        <f t="shared" si="34"/>
        <v>0</v>
      </c>
      <c r="N142" s="233">
        <f t="shared" si="35"/>
        <v>0</v>
      </c>
      <c r="O142" s="1383"/>
    </row>
    <row r="143" spans="1:16" ht="15" customHeight="1" x14ac:dyDescent="0.2">
      <c r="A143" s="1524"/>
      <c r="B143" s="1530"/>
      <c r="C143" s="218" t="s">
        <v>479</v>
      </c>
      <c r="D143" s="956" t="s">
        <v>494</v>
      </c>
      <c r="E143" s="889"/>
      <c r="F143" s="122" t="str">
        <f t="shared" si="30"/>
        <v/>
      </c>
      <c r="G143" s="889"/>
      <c r="H143" s="122" t="str">
        <f t="shared" si="31"/>
        <v/>
      </c>
      <c r="I143" s="208" t="str">
        <f t="shared" si="26"/>
        <v/>
      </c>
      <c r="J143" s="889"/>
      <c r="K143" s="122" t="str">
        <f t="shared" si="33"/>
        <v/>
      </c>
      <c r="L143" s="208" t="str">
        <f>IF(G143*J143=0,"",J143/G143)</f>
        <v/>
      </c>
      <c r="M143" s="161">
        <f t="shared" si="34"/>
        <v>0</v>
      </c>
      <c r="N143" s="233">
        <f>J143-G143</f>
        <v>0</v>
      </c>
      <c r="O143" s="1359"/>
    </row>
    <row r="144" spans="1:16" ht="15" customHeight="1" x14ac:dyDescent="0.2">
      <c r="A144" s="1524"/>
      <c r="B144" s="1530"/>
      <c r="C144" s="276" t="s">
        <v>479</v>
      </c>
      <c r="D144" s="1327" t="s">
        <v>756</v>
      </c>
      <c r="E144" s="894"/>
      <c r="F144" s="122" t="str">
        <f t="shared" si="30"/>
        <v/>
      </c>
      <c r="G144" s="889"/>
      <c r="H144" s="122" t="str">
        <f t="shared" si="31"/>
        <v/>
      </c>
      <c r="I144" s="208" t="str">
        <f t="shared" si="26"/>
        <v/>
      </c>
      <c r="J144" s="889"/>
      <c r="K144" s="122" t="str">
        <f t="shared" si="33"/>
        <v/>
      </c>
      <c r="L144" s="208" t="str">
        <f t="shared" si="27"/>
        <v/>
      </c>
      <c r="M144" s="161">
        <f t="shared" si="34"/>
        <v>0</v>
      </c>
      <c r="N144" s="233">
        <f t="shared" si="35"/>
        <v>0</v>
      </c>
      <c r="O144" s="1385"/>
    </row>
    <row r="145" spans="1:16" ht="15" customHeight="1" x14ac:dyDescent="0.2">
      <c r="A145" s="1524"/>
      <c r="B145" s="1530"/>
      <c r="C145" s="276" t="s">
        <v>479</v>
      </c>
      <c r="D145" s="922" t="s">
        <v>757</v>
      </c>
      <c r="E145" s="889"/>
      <c r="F145" s="122" t="str">
        <f t="shared" si="30"/>
        <v/>
      </c>
      <c r="G145" s="889"/>
      <c r="H145" s="122" t="str">
        <f t="shared" si="31"/>
        <v/>
      </c>
      <c r="I145" s="208" t="str">
        <f t="shared" si="26"/>
        <v/>
      </c>
      <c r="J145" s="889"/>
      <c r="K145" s="122" t="str">
        <f t="shared" si="33"/>
        <v/>
      </c>
      <c r="L145" s="208" t="str">
        <f t="shared" si="27"/>
        <v/>
      </c>
      <c r="M145" s="161">
        <f t="shared" si="34"/>
        <v>0</v>
      </c>
      <c r="N145" s="233">
        <f t="shared" si="35"/>
        <v>0</v>
      </c>
      <c r="O145" s="1384"/>
    </row>
    <row r="146" spans="1:16" ht="15" customHeight="1" x14ac:dyDescent="0.2">
      <c r="A146" s="1524"/>
      <c r="B146" s="1530"/>
      <c r="C146" s="276" t="s">
        <v>479</v>
      </c>
      <c r="D146" s="1327" t="s">
        <v>758</v>
      </c>
      <c r="E146" s="889"/>
      <c r="F146" s="122" t="str">
        <f t="shared" si="30"/>
        <v/>
      </c>
      <c r="G146" s="889"/>
      <c r="H146" s="122" t="str">
        <f t="shared" si="31"/>
        <v/>
      </c>
      <c r="I146" s="208" t="str">
        <f t="shared" si="26"/>
        <v/>
      </c>
      <c r="J146" s="889"/>
      <c r="K146" s="122" t="str">
        <f t="shared" si="33"/>
        <v/>
      </c>
      <c r="L146" s="208" t="str">
        <f t="shared" si="27"/>
        <v/>
      </c>
      <c r="M146" s="161">
        <f t="shared" si="34"/>
        <v>0</v>
      </c>
      <c r="N146" s="233">
        <f t="shared" si="35"/>
        <v>0</v>
      </c>
      <c r="O146" s="1385"/>
    </row>
    <row r="147" spans="1:16" ht="15" customHeight="1" x14ac:dyDescent="0.2">
      <c r="A147" s="1524"/>
      <c r="B147" s="1530"/>
      <c r="C147" s="276" t="s">
        <v>479</v>
      </c>
      <c r="D147" s="1386" t="s">
        <v>759</v>
      </c>
      <c r="E147" s="889"/>
      <c r="F147" s="122" t="str">
        <f t="shared" si="30"/>
        <v/>
      </c>
      <c r="G147" s="889"/>
      <c r="H147" s="122" t="str">
        <f t="shared" si="31"/>
        <v/>
      </c>
      <c r="I147" s="208" t="str">
        <f t="shared" si="26"/>
        <v/>
      </c>
      <c r="J147" s="889"/>
      <c r="K147" s="122" t="str">
        <f t="shared" si="33"/>
        <v/>
      </c>
      <c r="L147" s="208" t="str">
        <f t="shared" si="27"/>
        <v/>
      </c>
      <c r="M147" s="161">
        <f t="shared" si="34"/>
        <v>0</v>
      </c>
      <c r="N147" s="233">
        <f t="shared" si="35"/>
        <v>0</v>
      </c>
      <c r="O147" s="1387"/>
    </row>
    <row r="148" spans="1:16" ht="15" customHeight="1" x14ac:dyDescent="0.2">
      <c r="A148" s="1524"/>
      <c r="B148" s="1530"/>
      <c r="C148" s="276" t="s">
        <v>153</v>
      </c>
      <c r="D148" s="1327" t="s">
        <v>760</v>
      </c>
      <c r="E148" s="889"/>
      <c r="F148" s="122" t="str">
        <f t="shared" si="30"/>
        <v/>
      </c>
      <c r="G148" s="889"/>
      <c r="H148" s="122" t="str">
        <f t="shared" si="31"/>
        <v/>
      </c>
      <c r="I148" s="208" t="str">
        <f t="shared" si="26"/>
        <v/>
      </c>
      <c r="J148" s="889"/>
      <c r="K148" s="122" t="str">
        <f t="shared" si="33"/>
        <v/>
      </c>
      <c r="L148" s="208" t="str">
        <f t="shared" si="27"/>
        <v/>
      </c>
      <c r="M148" s="161">
        <f t="shared" si="34"/>
        <v>0</v>
      </c>
      <c r="N148" s="233">
        <f t="shared" si="35"/>
        <v>0</v>
      </c>
      <c r="O148" s="1334"/>
    </row>
    <row r="149" spans="1:16" ht="15" customHeight="1" x14ac:dyDescent="0.2">
      <c r="A149" s="1524"/>
      <c r="B149" s="1530"/>
      <c r="C149" s="276" t="s">
        <v>479</v>
      </c>
      <c r="D149" s="1327" t="s">
        <v>761</v>
      </c>
      <c r="E149" s="889"/>
      <c r="F149" s="122" t="str">
        <f t="shared" si="30"/>
        <v/>
      </c>
      <c r="G149" s="889"/>
      <c r="H149" s="122" t="str">
        <f t="shared" si="31"/>
        <v/>
      </c>
      <c r="I149" s="208" t="str">
        <f t="shared" si="26"/>
        <v/>
      </c>
      <c r="J149" s="889"/>
      <c r="K149" s="122" t="str">
        <f t="shared" si="33"/>
        <v/>
      </c>
      <c r="L149" s="208" t="str">
        <f t="shared" si="27"/>
        <v/>
      </c>
      <c r="M149" s="161">
        <f t="shared" si="34"/>
        <v>0</v>
      </c>
      <c r="N149" s="233">
        <f t="shared" si="35"/>
        <v>0</v>
      </c>
      <c r="O149" s="1359"/>
    </row>
    <row r="150" spans="1:16" ht="15" customHeight="1" x14ac:dyDescent="0.2">
      <c r="A150" s="1524"/>
      <c r="B150" s="1530"/>
      <c r="C150" s="276" t="s">
        <v>479</v>
      </c>
      <c r="D150" s="922" t="s">
        <v>762</v>
      </c>
      <c r="E150" s="889"/>
      <c r="F150" s="122" t="str">
        <f t="shared" si="30"/>
        <v/>
      </c>
      <c r="G150" s="889"/>
      <c r="H150" s="122" t="str">
        <f t="shared" si="31"/>
        <v/>
      </c>
      <c r="I150" s="208" t="str">
        <f t="shared" si="26"/>
        <v/>
      </c>
      <c r="J150" s="889"/>
      <c r="K150" s="122" t="str">
        <f t="shared" si="33"/>
        <v/>
      </c>
      <c r="L150" s="208" t="str">
        <f t="shared" si="27"/>
        <v/>
      </c>
      <c r="M150" s="161">
        <f t="shared" si="34"/>
        <v>0</v>
      </c>
      <c r="N150" s="233">
        <f t="shared" si="35"/>
        <v>0</v>
      </c>
      <c r="O150" s="1359"/>
    </row>
    <row r="151" spans="1:16" ht="15" customHeight="1" x14ac:dyDescent="0.2">
      <c r="A151" s="1524"/>
      <c r="B151" s="1530"/>
      <c r="C151" s="276" t="s">
        <v>479</v>
      </c>
      <c r="D151" s="922" t="s">
        <v>763</v>
      </c>
      <c r="E151" s="889"/>
      <c r="F151" s="122" t="str">
        <f t="shared" si="30"/>
        <v/>
      </c>
      <c r="G151" s="889"/>
      <c r="H151" s="122" t="str">
        <f t="shared" si="31"/>
        <v/>
      </c>
      <c r="I151" s="208" t="str">
        <f t="shared" si="26"/>
        <v/>
      </c>
      <c r="J151" s="889"/>
      <c r="K151" s="122" t="str">
        <f t="shared" si="33"/>
        <v/>
      </c>
      <c r="L151" s="208" t="str">
        <f t="shared" si="27"/>
        <v/>
      </c>
      <c r="M151" s="161">
        <f t="shared" si="34"/>
        <v>0</v>
      </c>
      <c r="N151" s="233">
        <f t="shared" si="35"/>
        <v>0</v>
      </c>
      <c r="O151" s="1359"/>
    </row>
    <row r="152" spans="1:16" ht="15" customHeight="1" x14ac:dyDescent="0.2">
      <c r="A152" s="1524"/>
      <c r="B152" s="1530"/>
      <c r="C152" s="276" t="s">
        <v>479</v>
      </c>
      <c r="D152" s="1327" t="s">
        <v>764</v>
      </c>
      <c r="E152" s="889"/>
      <c r="F152" s="122" t="str">
        <f t="shared" si="30"/>
        <v/>
      </c>
      <c r="G152" s="889"/>
      <c r="H152" s="122" t="str">
        <f t="shared" si="31"/>
        <v/>
      </c>
      <c r="I152" s="208" t="str">
        <f t="shared" si="26"/>
        <v/>
      </c>
      <c r="J152" s="1321"/>
      <c r="K152" s="122" t="str">
        <f t="shared" si="33"/>
        <v/>
      </c>
      <c r="L152" s="1382" t="str">
        <f t="shared" si="27"/>
        <v/>
      </c>
      <c r="M152" s="161">
        <f t="shared" si="34"/>
        <v>0</v>
      </c>
      <c r="N152" s="233">
        <f t="shared" si="35"/>
        <v>0</v>
      </c>
      <c r="O152" s="1332"/>
      <c r="P152" s="1403"/>
    </row>
    <row r="153" spans="1:16" ht="15" customHeight="1" x14ac:dyDescent="0.2">
      <c r="A153" s="1524"/>
      <c r="B153" s="1530"/>
      <c r="C153" s="276" t="s">
        <v>479</v>
      </c>
      <c r="D153" s="922" t="s">
        <v>765</v>
      </c>
      <c r="E153" s="889"/>
      <c r="F153" s="122" t="str">
        <f t="shared" si="30"/>
        <v/>
      </c>
      <c r="G153" s="889"/>
      <c r="H153" s="122" t="str">
        <f t="shared" si="31"/>
        <v/>
      </c>
      <c r="I153" s="208" t="str">
        <f t="shared" si="26"/>
        <v/>
      </c>
      <c r="J153" s="889"/>
      <c r="K153" s="122" t="str">
        <f t="shared" si="33"/>
        <v/>
      </c>
      <c r="L153" s="208" t="str">
        <f t="shared" si="27"/>
        <v/>
      </c>
      <c r="M153" s="161">
        <f t="shared" si="34"/>
        <v>0</v>
      </c>
      <c r="N153" s="233">
        <f t="shared" si="35"/>
        <v>0</v>
      </c>
      <c r="O153" s="1591"/>
    </row>
    <row r="154" spans="1:16" ht="15" customHeight="1" x14ac:dyDescent="0.2">
      <c r="A154" s="1524"/>
      <c r="B154" s="1530"/>
      <c r="C154" s="276" t="s">
        <v>479</v>
      </c>
      <c r="D154" s="922" t="s">
        <v>766</v>
      </c>
      <c r="E154" s="889"/>
      <c r="F154" s="122" t="str">
        <f t="shared" si="30"/>
        <v/>
      </c>
      <c r="G154" s="889"/>
      <c r="H154" s="122" t="str">
        <f t="shared" si="31"/>
        <v/>
      </c>
      <c r="I154" s="208" t="str">
        <f t="shared" si="26"/>
        <v/>
      </c>
      <c r="J154" s="889"/>
      <c r="K154" s="122" t="str">
        <f t="shared" si="33"/>
        <v/>
      </c>
      <c r="L154" s="208" t="str">
        <f t="shared" si="27"/>
        <v/>
      </c>
      <c r="M154" s="161">
        <f t="shared" si="34"/>
        <v>0</v>
      </c>
      <c r="N154" s="233">
        <f t="shared" si="35"/>
        <v>0</v>
      </c>
      <c r="O154" s="1598"/>
    </row>
    <row r="155" spans="1:16" ht="15" customHeight="1" thickBot="1" x14ac:dyDescent="0.25">
      <c r="A155" s="1524"/>
      <c r="B155" s="1530"/>
      <c r="C155" s="277" t="s">
        <v>479</v>
      </c>
      <c r="D155" s="923" t="s">
        <v>767</v>
      </c>
      <c r="E155" s="892"/>
      <c r="F155" s="127" t="str">
        <f t="shared" si="30"/>
        <v/>
      </c>
      <c r="G155" s="892"/>
      <c r="H155" s="127" t="str">
        <f t="shared" si="31"/>
        <v/>
      </c>
      <c r="I155" s="195" t="str">
        <f t="shared" si="26"/>
        <v/>
      </c>
      <c r="J155" s="1388"/>
      <c r="K155" s="127" t="str">
        <f t="shared" si="33"/>
        <v/>
      </c>
      <c r="L155" s="1389" t="str">
        <f t="shared" si="27"/>
        <v/>
      </c>
      <c r="M155" s="196">
        <f t="shared" si="34"/>
        <v>0</v>
      </c>
      <c r="N155" s="236">
        <f t="shared" si="35"/>
        <v>0</v>
      </c>
      <c r="O155" s="1599"/>
    </row>
    <row r="156" spans="1:16" ht="21.75" customHeight="1" thickBot="1" x14ac:dyDescent="0.25">
      <c r="A156" s="1525"/>
      <c r="B156" s="1531"/>
      <c r="C156" s="245"/>
      <c r="D156" s="246" t="s">
        <v>184</v>
      </c>
      <c r="E156" s="247">
        <f>SUM(E138:E155)</f>
        <v>0</v>
      </c>
      <c r="F156" s="138" t="str">
        <f t="shared" si="30"/>
        <v/>
      </c>
      <c r="G156" s="247">
        <f>SUM(G138:G155)</f>
        <v>0</v>
      </c>
      <c r="H156" s="138" t="str">
        <f t="shared" si="31"/>
        <v/>
      </c>
      <c r="I156" s="248" t="str">
        <f t="shared" si="26"/>
        <v/>
      </c>
      <c r="J156" s="247">
        <f>SUM(J138:J155)</f>
        <v>0</v>
      </c>
      <c r="K156" s="138" t="str">
        <f t="shared" si="33"/>
        <v/>
      </c>
      <c r="L156" s="248" t="str">
        <f t="shared" si="27"/>
        <v/>
      </c>
      <c r="M156" s="249">
        <f t="shared" si="34"/>
        <v>0</v>
      </c>
      <c r="N156" s="250">
        <f t="shared" si="35"/>
        <v>0</v>
      </c>
      <c r="O156" s="1364"/>
    </row>
    <row r="157" spans="1:16" ht="21.75" customHeight="1" thickBot="1" x14ac:dyDescent="0.25">
      <c r="A157" s="1532" t="s">
        <v>49</v>
      </c>
      <c r="B157" s="1533"/>
      <c r="C157" s="1533"/>
      <c r="D157" s="1534"/>
      <c r="E157" s="166">
        <f>E137-E156</f>
        <v>0</v>
      </c>
      <c r="F157" s="142" t="str">
        <f t="shared" si="30"/>
        <v/>
      </c>
      <c r="G157" s="166">
        <f>G137-G156</f>
        <v>0</v>
      </c>
      <c r="H157" s="1325" t="str">
        <f t="shared" si="31"/>
        <v/>
      </c>
      <c r="I157" s="211" t="str">
        <f t="shared" si="26"/>
        <v/>
      </c>
      <c r="J157" s="166">
        <f>J137-J156</f>
        <v>0</v>
      </c>
      <c r="K157" s="1325" t="str">
        <f t="shared" si="33"/>
        <v/>
      </c>
      <c r="L157" s="211" t="str">
        <f t="shared" si="27"/>
        <v/>
      </c>
      <c r="M157" s="168">
        <f t="shared" si="34"/>
        <v>0</v>
      </c>
      <c r="N157" s="229">
        <f t="shared" si="35"/>
        <v>0</v>
      </c>
      <c r="O157" s="1390"/>
    </row>
    <row r="158" spans="1:16" ht="15" customHeight="1" x14ac:dyDescent="0.2">
      <c r="A158" s="1535" t="s">
        <v>524</v>
      </c>
      <c r="B158" s="1536"/>
      <c r="C158" s="1539" t="s">
        <v>224</v>
      </c>
      <c r="D158" s="884" t="s">
        <v>51</v>
      </c>
      <c r="E158" s="914"/>
      <c r="F158" s="212" t="str">
        <f t="shared" si="30"/>
        <v/>
      </c>
      <c r="G158" s="914"/>
      <c r="H158" s="212" t="str">
        <f t="shared" si="31"/>
        <v/>
      </c>
      <c r="I158" s="213" t="str">
        <f t="shared" si="26"/>
        <v/>
      </c>
      <c r="J158" s="914"/>
      <c r="K158" s="212" t="str">
        <f t="shared" si="33"/>
        <v/>
      </c>
      <c r="L158" s="213" t="str">
        <f t="shared" si="27"/>
        <v/>
      </c>
      <c r="M158" s="214">
        <f t="shared" si="34"/>
        <v>0</v>
      </c>
      <c r="N158" s="251">
        <f t="shared" si="35"/>
        <v>0</v>
      </c>
      <c r="O158" s="1369"/>
    </row>
    <row r="159" spans="1:16" ht="15" customHeight="1" x14ac:dyDescent="0.2">
      <c r="A159" s="1524"/>
      <c r="B159" s="1537"/>
      <c r="C159" s="1540"/>
      <c r="D159" s="924" t="s">
        <v>768</v>
      </c>
      <c r="E159" s="1391"/>
      <c r="F159" s="122" t="str">
        <f t="shared" si="30"/>
        <v/>
      </c>
      <c r="G159" s="889"/>
      <c r="H159" s="122" t="str">
        <f t="shared" si="31"/>
        <v/>
      </c>
      <c r="I159" s="208" t="str">
        <f t="shared" si="26"/>
        <v/>
      </c>
      <c r="J159" s="889"/>
      <c r="K159" s="122" t="str">
        <f t="shared" si="33"/>
        <v/>
      </c>
      <c r="L159" s="208" t="str">
        <f t="shared" si="27"/>
        <v/>
      </c>
      <c r="M159" s="124">
        <f t="shared" si="34"/>
        <v>0</v>
      </c>
      <c r="N159" s="252">
        <f t="shared" si="35"/>
        <v>0</v>
      </c>
      <c r="O159" s="1334"/>
    </row>
    <row r="160" spans="1:16" ht="15" customHeight="1" x14ac:dyDescent="0.2">
      <c r="A160" s="1524"/>
      <c r="B160" s="1537"/>
      <c r="C160" s="1540"/>
      <c r="D160" s="1336" t="s">
        <v>692</v>
      </c>
      <c r="E160" s="889"/>
      <c r="F160" s="122" t="str">
        <f t="shared" si="30"/>
        <v/>
      </c>
      <c r="G160" s="889"/>
      <c r="H160" s="122" t="str">
        <f t="shared" si="31"/>
        <v/>
      </c>
      <c r="I160" s="208" t="str">
        <f t="shared" si="26"/>
        <v/>
      </c>
      <c r="J160" s="894"/>
      <c r="K160" s="122" t="str">
        <f t="shared" si="33"/>
        <v/>
      </c>
      <c r="L160" s="208" t="str">
        <f t="shared" si="27"/>
        <v/>
      </c>
      <c r="M160" s="124">
        <f t="shared" si="34"/>
        <v>0</v>
      </c>
      <c r="N160" s="252">
        <f t="shared" si="35"/>
        <v>0</v>
      </c>
      <c r="O160" s="1359"/>
    </row>
    <row r="161" spans="1:95" ht="15" customHeight="1" x14ac:dyDescent="0.2">
      <c r="A161" s="1524"/>
      <c r="B161" s="1537"/>
      <c r="C161" s="1540"/>
      <c r="D161" s="925" t="s">
        <v>692</v>
      </c>
      <c r="E161" s="892"/>
      <c r="F161" s="127" t="str">
        <f t="shared" si="30"/>
        <v/>
      </c>
      <c r="G161" s="892"/>
      <c r="H161" s="127" t="str">
        <f t="shared" si="31"/>
        <v/>
      </c>
      <c r="I161" s="195" t="str">
        <f t="shared" si="26"/>
        <v/>
      </c>
      <c r="J161" s="892"/>
      <c r="K161" s="127" t="str">
        <f t="shared" si="33"/>
        <v/>
      </c>
      <c r="L161" s="235" t="str">
        <f t="shared" si="27"/>
        <v/>
      </c>
      <c r="M161" s="129">
        <f t="shared" si="34"/>
        <v>0</v>
      </c>
      <c r="N161" s="253">
        <f t="shared" si="35"/>
        <v>0</v>
      </c>
      <c r="O161" s="1333" t="s">
        <v>692</v>
      </c>
    </row>
    <row r="162" spans="1:95" ht="15" customHeight="1" x14ac:dyDescent="0.2">
      <c r="A162" s="1524"/>
      <c r="B162" s="1537"/>
      <c r="C162" s="254"/>
      <c r="D162" s="255" t="s">
        <v>184</v>
      </c>
      <c r="E162" s="897">
        <f>SUM(E158:E161)</f>
        <v>0</v>
      </c>
      <c r="F162" s="132" t="str">
        <f t="shared" si="30"/>
        <v/>
      </c>
      <c r="G162" s="897">
        <f>SUM(G158:G161)</f>
        <v>0</v>
      </c>
      <c r="H162" s="132" t="str">
        <f t="shared" si="31"/>
        <v/>
      </c>
      <c r="I162" s="222" t="str">
        <f t="shared" si="26"/>
        <v/>
      </c>
      <c r="J162" s="897">
        <f>SUM(J158:J161)</f>
        <v>0</v>
      </c>
      <c r="K162" s="132" t="str">
        <f t="shared" si="33"/>
        <v/>
      </c>
      <c r="L162" s="222" t="str">
        <f t="shared" si="27"/>
        <v/>
      </c>
      <c r="M162" s="134">
        <f t="shared" si="34"/>
        <v>0</v>
      </c>
      <c r="N162" s="256">
        <f t="shared" si="35"/>
        <v>0</v>
      </c>
      <c r="O162" s="1363"/>
    </row>
    <row r="163" spans="1:95" ht="15" customHeight="1" x14ac:dyDescent="0.2">
      <c r="A163" s="1524"/>
      <c r="B163" s="1537"/>
      <c r="C163" s="1541" t="s">
        <v>225</v>
      </c>
      <c r="D163" s="883" t="s">
        <v>481</v>
      </c>
      <c r="E163" s="888"/>
      <c r="F163" s="118" t="str">
        <f t="shared" si="30"/>
        <v/>
      </c>
      <c r="G163" s="888"/>
      <c r="H163" s="118" t="str">
        <f t="shared" si="31"/>
        <v/>
      </c>
      <c r="I163" s="192" t="str">
        <f t="shared" si="26"/>
        <v/>
      </c>
      <c r="J163" s="888"/>
      <c r="K163" s="118" t="str">
        <f t="shared" si="33"/>
        <v/>
      </c>
      <c r="L163" s="192" t="str">
        <f t="shared" si="27"/>
        <v/>
      </c>
      <c r="M163" s="120">
        <f t="shared" si="34"/>
        <v>0</v>
      </c>
      <c r="N163" s="258">
        <f t="shared" si="35"/>
        <v>0</v>
      </c>
      <c r="O163" s="1368"/>
      <c r="P163" s="1402"/>
      <c r="R163" s="1392" t="e">
        <f>G163/G184</f>
        <v>#DIV/0!</v>
      </c>
      <c r="U163" s="1392" t="e">
        <f>J163/J184</f>
        <v>#DIV/0!</v>
      </c>
    </row>
    <row r="164" spans="1:95" ht="15" customHeight="1" x14ac:dyDescent="0.2">
      <c r="A164" s="1524"/>
      <c r="B164" s="1537"/>
      <c r="C164" s="1540"/>
      <c r="D164" s="925" t="s">
        <v>603</v>
      </c>
      <c r="E164" s="892"/>
      <c r="F164" s="127" t="str">
        <f t="shared" si="30"/>
        <v/>
      </c>
      <c r="G164" s="892"/>
      <c r="H164" s="127" t="str">
        <f t="shared" si="31"/>
        <v/>
      </c>
      <c r="I164" s="195" t="str">
        <f t="shared" si="26"/>
        <v/>
      </c>
      <c r="J164" s="892"/>
      <c r="K164" s="127" t="str">
        <f t="shared" si="33"/>
        <v/>
      </c>
      <c r="L164" s="195" t="str">
        <f t="shared" si="27"/>
        <v/>
      </c>
      <c r="M164" s="129">
        <f t="shared" si="34"/>
        <v>0</v>
      </c>
      <c r="N164" s="253">
        <f t="shared" si="35"/>
        <v>0</v>
      </c>
      <c r="O164" s="1333" t="s">
        <v>692</v>
      </c>
    </row>
    <row r="165" spans="1:95" ht="15" customHeight="1" thickBot="1" x14ac:dyDescent="0.25">
      <c r="A165" s="1525"/>
      <c r="B165" s="1538"/>
      <c r="C165" s="259"/>
      <c r="D165" s="260" t="s">
        <v>184</v>
      </c>
      <c r="E165" s="665">
        <f>SUM(E163:E164)</f>
        <v>0</v>
      </c>
      <c r="F165" s="138" t="str">
        <f t="shared" si="30"/>
        <v/>
      </c>
      <c r="G165" s="665">
        <f>SUM(G163:G164)</f>
        <v>0</v>
      </c>
      <c r="H165" s="138" t="str">
        <f t="shared" si="31"/>
        <v/>
      </c>
      <c r="I165" s="248" t="str">
        <f t="shared" si="26"/>
        <v/>
      </c>
      <c r="J165" s="665">
        <f>SUM(J163:J164)</f>
        <v>0</v>
      </c>
      <c r="K165" s="138" t="str">
        <f t="shared" si="33"/>
        <v/>
      </c>
      <c r="L165" s="248" t="str">
        <f t="shared" si="27"/>
        <v/>
      </c>
      <c r="M165" s="140">
        <f t="shared" si="34"/>
        <v>0</v>
      </c>
      <c r="N165" s="261">
        <f t="shared" si="35"/>
        <v>0</v>
      </c>
      <c r="O165" s="1364"/>
    </row>
    <row r="166" spans="1:95" s="174" customFormat="1" ht="23.25" customHeight="1" thickBot="1" x14ac:dyDescent="0.25">
      <c r="A166" s="1520" t="s">
        <v>52</v>
      </c>
      <c r="B166" s="1521"/>
      <c r="C166" s="1521"/>
      <c r="D166" s="1561"/>
      <c r="E166" s="901">
        <f>E157+E162-E165</f>
        <v>0</v>
      </c>
      <c r="F166" s="142" t="str">
        <f t="shared" si="30"/>
        <v/>
      </c>
      <c r="G166" s="901">
        <f>G157+G162-G165</f>
        <v>0</v>
      </c>
      <c r="H166" s="142" t="str">
        <f t="shared" si="31"/>
        <v/>
      </c>
      <c r="I166" s="211" t="str">
        <f t="shared" si="26"/>
        <v/>
      </c>
      <c r="J166" s="901">
        <f>J157+J162-J165</f>
        <v>0</v>
      </c>
      <c r="K166" s="142" t="str">
        <f t="shared" si="33"/>
        <v/>
      </c>
      <c r="L166" s="211" t="str">
        <f t="shared" si="27"/>
        <v/>
      </c>
      <c r="M166" s="144">
        <f t="shared" si="34"/>
        <v>0</v>
      </c>
      <c r="N166" s="262">
        <f t="shared" si="35"/>
        <v>0</v>
      </c>
      <c r="O166" s="1373"/>
      <c r="P166" s="1400"/>
      <c r="Q166" s="1338"/>
      <c r="R166" s="1394"/>
      <c r="S166" s="1338"/>
      <c r="T166" s="1338"/>
      <c r="U166" s="1338"/>
      <c r="V166" s="1338"/>
      <c r="W166" s="1338"/>
      <c r="X166" s="1338"/>
      <c r="Y166" s="1338"/>
      <c r="Z166" s="1338"/>
      <c r="AA166" s="1338"/>
      <c r="AB166" s="1344"/>
      <c r="AC166" s="1338"/>
      <c r="AD166" s="1338"/>
      <c r="AE166" s="1338"/>
      <c r="AF166" s="1338"/>
      <c r="AG166" s="1338"/>
      <c r="AH166" s="1338"/>
      <c r="AI166" s="1338"/>
      <c r="AJ166" s="1338"/>
      <c r="AK166" s="1338"/>
      <c r="AL166" s="1338"/>
      <c r="AM166" s="1338"/>
      <c r="AN166" s="1338"/>
      <c r="AO166" s="1338"/>
      <c r="AP166" s="1338"/>
      <c r="AQ166" s="4"/>
      <c r="AR166" s="4"/>
      <c r="AS166" s="4"/>
      <c r="AT166" s="4"/>
      <c r="AU166" s="4"/>
      <c r="AV166" s="4"/>
      <c r="AW166" s="4"/>
      <c r="AX166" s="4"/>
      <c r="AY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Y166" s="4"/>
      <c r="BZ166" s="4"/>
      <c r="CA166" s="4"/>
      <c r="CB166" s="4"/>
      <c r="CC166" s="4"/>
      <c r="CD166" s="4"/>
      <c r="CE166" s="4"/>
      <c r="CF166" s="4"/>
      <c r="CG166" s="4"/>
      <c r="CH166" s="4"/>
      <c r="CI166" s="4"/>
      <c r="CJ166" s="4"/>
      <c r="CK166" s="4"/>
      <c r="CL166" s="4"/>
      <c r="CM166" s="4"/>
      <c r="CN166" s="4"/>
      <c r="CO166" s="4"/>
      <c r="CP166" s="4"/>
      <c r="CQ166" s="4"/>
    </row>
    <row r="167" spans="1:95" ht="15" customHeight="1" x14ac:dyDescent="0.2">
      <c r="A167" s="1564" t="s">
        <v>226</v>
      </c>
      <c r="B167" s="1565"/>
      <c r="C167" s="1568" t="s">
        <v>426</v>
      </c>
      <c r="D167" s="1569"/>
      <c r="E167" s="914"/>
      <c r="F167" s="212" t="str">
        <f t="shared" si="30"/>
        <v/>
      </c>
      <c r="G167" s="914"/>
      <c r="H167" s="212" t="str">
        <f t="shared" si="31"/>
        <v/>
      </c>
      <c r="I167" s="213" t="str">
        <f t="shared" si="26"/>
        <v/>
      </c>
      <c r="J167" s="914"/>
      <c r="K167" s="212" t="str">
        <f t="shared" si="33"/>
        <v/>
      </c>
      <c r="L167" s="213" t="str">
        <f t="shared" si="27"/>
        <v/>
      </c>
      <c r="M167" s="214">
        <f t="shared" si="34"/>
        <v>0</v>
      </c>
      <c r="N167" s="251">
        <f t="shared" si="35"/>
        <v>0</v>
      </c>
      <c r="O167" s="1337"/>
    </row>
    <row r="168" spans="1:95" ht="15" customHeight="1" thickBot="1" x14ac:dyDescent="0.25">
      <c r="A168" s="1566"/>
      <c r="B168" s="1567"/>
      <c r="C168" s="1570" t="s">
        <v>510</v>
      </c>
      <c r="D168" s="1438"/>
      <c r="E168" s="1323"/>
      <c r="F168" s="162" t="str">
        <f t="shared" si="30"/>
        <v/>
      </c>
      <c r="G168" s="1323"/>
      <c r="H168" s="162" t="str">
        <f t="shared" si="31"/>
        <v/>
      </c>
      <c r="I168" s="210" t="str">
        <f t="shared" si="26"/>
        <v/>
      </c>
      <c r="J168" s="911"/>
      <c r="K168" s="162" t="str">
        <f t="shared" si="33"/>
        <v/>
      </c>
      <c r="L168" s="210" t="str">
        <f t="shared" si="27"/>
        <v/>
      </c>
      <c r="M168" s="216">
        <f t="shared" si="34"/>
        <v>0</v>
      </c>
      <c r="N168" s="263">
        <f t="shared" si="35"/>
        <v>0</v>
      </c>
      <c r="O168" s="1589"/>
    </row>
    <row r="169" spans="1:95" s="174" customFormat="1" ht="23.25" customHeight="1" thickBot="1" x14ac:dyDescent="0.25">
      <c r="A169" s="1563" t="s">
        <v>53</v>
      </c>
      <c r="B169" s="1521"/>
      <c r="C169" s="1521"/>
      <c r="D169" s="1561"/>
      <c r="E169" s="901">
        <f>E166+E167-E168</f>
        <v>0</v>
      </c>
      <c r="F169" s="142" t="str">
        <f t="shared" si="30"/>
        <v/>
      </c>
      <c r="G169" s="901">
        <f>G166+G167-G168</f>
        <v>0</v>
      </c>
      <c r="H169" s="142" t="str">
        <f t="shared" si="31"/>
        <v/>
      </c>
      <c r="I169" s="211" t="str">
        <f t="shared" si="26"/>
        <v/>
      </c>
      <c r="J169" s="901">
        <f>J166+J167-J168</f>
        <v>0</v>
      </c>
      <c r="K169" s="142" t="str">
        <f t="shared" si="33"/>
        <v/>
      </c>
      <c r="L169" s="211" t="str">
        <f t="shared" si="27"/>
        <v/>
      </c>
      <c r="M169" s="144">
        <f t="shared" si="34"/>
        <v>0</v>
      </c>
      <c r="N169" s="262">
        <f t="shared" si="35"/>
        <v>0</v>
      </c>
      <c r="O169" s="1590"/>
      <c r="P169" s="1400"/>
      <c r="Q169" s="1338"/>
      <c r="R169" s="1338"/>
      <c r="S169" s="1338"/>
      <c r="T169" s="1338"/>
      <c r="U169" s="1338"/>
      <c r="V169" s="1338"/>
      <c r="W169" s="1338"/>
      <c r="X169" s="1338"/>
      <c r="Y169" s="1338"/>
      <c r="Z169" s="1338"/>
      <c r="AA169" s="1338"/>
      <c r="AB169" s="1344"/>
      <c r="AC169" s="1338"/>
      <c r="AD169" s="1338"/>
      <c r="AE169" s="1338"/>
      <c r="AF169" s="1338"/>
      <c r="AG169" s="1338"/>
      <c r="AH169" s="1338"/>
      <c r="AI169" s="1338"/>
      <c r="AJ169" s="1338"/>
      <c r="AK169" s="1338"/>
      <c r="AL169" s="1338"/>
      <c r="AM169" s="1338"/>
      <c r="AN169" s="1338"/>
      <c r="AO169" s="1338"/>
      <c r="AP169" s="1338"/>
      <c r="AQ169" s="4"/>
      <c r="AR169" s="4"/>
      <c r="AS169" s="4"/>
      <c r="AT169" s="4"/>
      <c r="AU169" s="4"/>
      <c r="AV169" s="4"/>
      <c r="AW169" s="4"/>
      <c r="AX169" s="4"/>
      <c r="AY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Y169" s="4"/>
      <c r="BZ169" s="4"/>
      <c r="CA169" s="4"/>
      <c r="CB169" s="4"/>
      <c r="CC169" s="4"/>
      <c r="CD169" s="4"/>
      <c r="CE169" s="4"/>
      <c r="CF169" s="4"/>
      <c r="CG169" s="4"/>
      <c r="CH169" s="4"/>
      <c r="CI169" s="4"/>
      <c r="CJ169" s="4"/>
      <c r="CK169" s="4"/>
      <c r="CL169" s="4"/>
      <c r="CM169" s="4"/>
      <c r="CN169" s="4"/>
      <c r="CO169" s="4"/>
      <c r="CP169" s="4"/>
      <c r="CQ169" s="4"/>
    </row>
    <row r="170" spans="1:95" ht="16.5" customHeight="1" thickBot="1" x14ac:dyDescent="0.25">
      <c r="A170" s="1571" t="s">
        <v>54</v>
      </c>
      <c r="B170" s="1572"/>
      <c r="C170" s="1572"/>
      <c r="D170" s="1573"/>
      <c r="E170" s="926"/>
      <c r="F170" s="240" t="str">
        <f t="shared" si="30"/>
        <v/>
      </c>
      <c r="G170" s="926"/>
      <c r="H170" s="240" t="str">
        <f t="shared" si="31"/>
        <v/>
      </c>
      <c r="I170" s="241" t="str">
        <f t="shared" si="26"/>
        <v/>
      </c>
      <c r="J170" s="926"/>
      <c r="K170" s="240" t="str">
        <f t="shared" si="33"/>
        <v/>
      </c>
      <c r="L170" s="241" t="str">
        <f t="shared" si="27"/>
        <v/>
      </c>
      <c r="M170" s="264">
        <f t="shared" si="34"/>
        <v>0</v>
      </c>
      <c r="N170" s="265">
        <f t="shared" si="35"/>
        <v>0</v>
      </c>
      <c r="O170" s="1393"/>
    </row>
    <row r="171" spans="1:95" s="174" customFormat="1" ht="23.25" customHeight="1" thickBot="1" x14ac:dyDescent="0.25">
      <c r="A171" s="1520" t="s">
        <v>55</v>
      </c>
      <c r="B171" s="1521"/>
      <c r="C171" s="1521"/>
      <c r="D171" s="1561"/>
      <c r="E171" s="901">
        <f>E169-E170</f>
        <v>0</v>
      </c>
      <c r="F171" s="142" t="str">
        <f t="shared" si="30"/>
        <v/>
      </c>
      <c r="G171" s="901">
        <f>G169-G170</f>
        <v>0</v>
      </c>
      <c r="H171" s="211" t="str">
        <f t="shared" si="31"/>
        <v/>
      </c>
      <c r="I171" s="211" t="str">
        <f t="shared" si="26"/>
        <v/>
      </c>
      <c r="J171" s="901">
        <f>J169-J170</f>
        <v>0</v>
      </c>
      <c r="K171" s="211" t="str">
        <f t="shared" si="33"/>
        <v/>
      </c>
      <c r="L171" s="211" t="str">
        <f t="shared" si="27"/>
        <v/>
      </c>
      <c r="M171" s="144">
        <f t="shared" si="34"/>
        <v>0</v>
      </c>
      <c r="N171" s="262">
        <f t="shared" si="35"/>
        <v>0</v>
      </c>
      <c r="O171" s="1393"/>
      <c r="P171" s="1400"/>
      <c r="Q171" s="1338"/>
      <c r="R171" s="1338"/>
      <c r="S171" s="1338"/>
      <c r="T171" s="1338"/>
      <c r="U171" s="1338"/>
      <c r="V171" s="1338"/>
      <c r="W171" s="1338"/>
      <c r="X171" s="1338"/>
      <c r="Y171" s="1338"/>
      <c r="Z171" s="1338"/>
      <c r="AA171" s="1338"/>
      <c r="AB171" s="1344"/>
      <c r="AC171" s="1338"/>
      <c r="AD171" s="1338"/>
      <c r="AE171" s="1338"/>
      <c r="AF171" s="1338"/>
      <c r="AG171" s="1338"/>
      <c r="AH171" s="1338"/>
      <c r="AI171" s="1338"/>
      <c r="AJ171" s="1338"/>
      <c r="AK171" s="1338"/>
      <c r="AL171" s="1338"/>
      <c r="AM171" s="1338"/>
      <c r="AN171" s="1338"/>
      <c r="AO171" s="1338"/>
      <c r="AP171" s="1338"/>
      <c r="AQ171" s="4"/>
      <c r="AR171" s="4"/>
      <c r="AS171" s="4"/>
      <c r="AT171" s="4"/>
      <c r="AU171" s="4"/>
      <c r="AV171" s="4"/>
      <c r="AW171" s="4"/>
      <c r="AX171" s="4"/>
      <c r="AY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Y171" s="4"/>
      <c r="BZ171" s="4"/>
      <c r="CA171" s="4"/>
      <c r="CB171" s="4"/>
      <c r="CC171" s="4"/>
      <c r="CD171" s="4"/>
      <c r="CE171" s="4"/>
      <c r="CF171" s="4"/>
      <c r="CG171" s="4"/>
      <c r="CH171" s="4"/>
      <c r="CI171" s="4"/>
      <c r="CJ171" s="4"/>
      <c r="CK171" s="4"/>
      <c r="CL171" s="4"/>
      <c r="CM171" s="4"/>
      <c r="CN171" s="4"/>
      <c r="CO171" s="4"/>
      <c r="CP171" s="4"/>
      <c r="CQ171" s="4"/>
    </row>
    <row r="172" spans="1:95" x14ac:dyDescent="0.2">
      <c r="A172" s="174"/>
      <c r="B172" s="103"/>
      <c r="C172" s="103"/>
      <c r="D172" s="103"/>
      <c r="E172" s="103"/>
      <c r="G172" s="103"/>
      <c r="J172" s="103"/>
      <c r="M172" s="174"/>
      <c r="N172" s="174"/>
    </row>
    <row r="173" spans="1:95" ht="15" customHeight="1" x14ac:dyDescent="0.2">
      <c r="A173" s="174"/>
      <c r="B173" s="1552" t="s">
        <v>56</v>
      </c>
      <c r="C173" s="1499"/>
      <c r="D173" s="1500"/>
      <c r="E173" s="905"/>
      <c r="F173" s="132" t="str">
        <f t="shared" si="30"/>
        <v/>
      </c>
      <c r="G173" s="905"/>
      <c r="H173" s="132" t="str">
        <f>IF(G173=0,"",G173/G$129)</f>
        <v/>
      </c>
      <c r="I173" s="222" t="str">
        <f>IF(E173*G173=0,"",G173/E173)</f>
        <v/>
      </c>
      <c r="J173" s="905"/>
      <c r="K173" s="132" t="str">
        <f>IF(J173=0,"",J173/J$129)</f>
        <v/>
      </c>
      <c r="L173" s="222" t="str">
        <f>IF(G173*J173=0,"",J173/G173)</f>
        <v/>
      </c>
      <c r="M173" s="134">
        <f>G173-E173</f>
        <v>0</v>
      </c>
      <c r="N173" s="134">
        <f>J173-G173</f>
        <v>0</v>
      </c>
    </row>
    <row r="174" spans="1:95" ht="15" customHeight="1" x14ac:dyDescent="0.2">
      <c r="A174" s="174"/>
      <c r="B174" s="1552" t="s">
        <v>57</v>
      </c>
      <c r="C174" s="1499"/>
      <c r="D174" s="1500"/>
      <c r="E174" s="905"/>
      <c r="F174" s="132" t="str">
        <f t="shared" si="30"/>
        <v/>
      </c>
      <c r="G174" s="905"/>
      <c r="H174" s="132" t="str">
        <f>IF(G174=0,"",G174/G$129)</f>
        <v/>
      </c>
      <c r="I174" s="222" t="str">
        <f>IF(E174*G174=0,"",G174/E174)</f>
        <v/>
      </c>
      <c r="J174" s="905"/>
      <c r="K174" s="132" t="str">
        <f>IF(J174=0,"",J174/J$129)</f>
        <v/>
      </c>
      <c r="L174" s="222" t="str">
        <f>IF(G174*J174=0,"",J174/G174)</f>
        <v/>
      </c>
      <c r="M174" s="134">
        <f>G174-E174</f>
        <v>0</v>
      </c>
      <c r="N174" s="134">
        <f>J174-G174</f>
        <v>0</v>
      </c>
    </row>
    <row r="175" spans="1:95" ht="15" customHeight="1" x14ac:dyDescent="0.2">
      <c r="A175" s="174"/>
      <c r="B175" s="103"/>
      <c r="C175" s="103"/>
      <c r="D175" s="103"/>
      <c r="E175" s="103"/>
      <c r="G175" s="103"/>
      <c r="J175" s="103"/>
      <c r="M175" s="174"/>
      <c r="N175" s="174"/>
    </row>
    <row r="176" spans="1:95" x14ac:dyDescent="0.2">
      <c r="A176" s="174" t="s">
        <v>218</v>
      </c>
      <c r="B176" s="103"/>
      <c r="C176" s="103"/>
      <c r="D176" s="103"/>
      <c r="E176" s="103"/>
      <c r="G176" s="103"/>
      <c r="J176" s="103"/>
      <c r="M176" s="174"/>
      <c r="N176" s="174"/>
    </row>
    <row r="177" spans="1:15" ht="17.25" customHeight="1" x14ac:dyDescent="0.2">
      <c r="A177" s="1574" t="s">
        <v>228</v>
      </c>
      <c r="B177" s="1430"/>
      <c r="C177" s="1430"/>
      <c r="D177" s="1430"/>
      <c r="E177" s="888"/>
      <c r="F177" s="266" t="s">
        <v>482</v>
      </c>
      <c r="G177" s="888"/>
      <c r="H177" s="266" t="s">
        <v>482</v>
      </c>
      <c r="I177" s="192" t="str">
        <f>IF(E177*G177=0,"",G177/E177)</f>
        <v/>
      </c>
      <c r="J177" s="888"/>
      <c r="K177" s="266" t="s">
        <v>231</v>
      </c>
      <c r="L177" s="192" t="str">
        <f>IF(G177*J177=0,"",J177/G177)</f>
        <v/>
      </c>
      <c r="M177" s="120">
        <f>G177-E177</f>
        <v>0</v>
      </c>
      <c r="N177" s="120">
        <f>J177-G177</f>
        <v>0</v>
      </c>
      <c r="O177" s="1335"/>
    </row>
    <row r="178" spans="1:15" ht="17.25" customHeight="1" x14ac:dyDescent="0.2">
      <c r="A178" s="1473" t="s">
        <v>229</v>
      </c>
      <c r="B178" s="1474"/>
      <c r="C178" s="1474"/>
      <c r="D178" s="1474"/>
      <c r="E178" s="892"/>
      <c r="F178" s="268" t="s">
        <v>482</v>
      </c>
      <c r="G178" s="892"/>
      <c r="H178" s="268" t="s">
        <v>482</v>
      </c>
      <c r="I178" s="195" t="str">
        <f>IF(E178*G178=0,"",G178/E178)</f>
        <v/>
      </c>
      <c r="J178" s="892"/>
      <c r="K178" s="268" t="s">
        <v>231</v>
      </c>
      <c r="L178" s="195" t="str">
        <f>IF(G178*J178=0,"",J178/G178)</f>
        <v/>
      </c>
      <c r="M178" s="129">
        <f>G178-E178</f>
        <v>0</v>
      </c>
      <c r="N178" s="129">
        <f>J178-G178</f>
        <v>0</v>
      </c>
      <c r="O178" s="1362"/>
    </row>
    <row r="179" spans="1:15" ht="17.25" customHeight="1" x14ac:dyDescent="0.2">
      <c r="A179" s="1550" t="s">
        <v>227</v>
      </c>
      <c r="B179" s="1551"/>
      <c r="C179" s="1551"/>
      <c r="D179" s="1551"/>
      <c r="E179" s="897">
        <f>E177+E178</f>
        <v>0</v>
      </c>
      <c r="F179" s="269" t="s">
        <v>482</v>
      </c>
      <c r="G179" s="897">
        <f>G177+G178</f>
        <v>0</v>
      </c>
      <c r="H179" s="269" t="s">
        <v>482</v>
      </c>
      <c r="I179" s="222" t="str">
        <f>IF(E179*G179=0,"",G179/E179)</f>
        <v/>
      </c>
      <c r="J179" s="897">
        <f>J177+J178</f>
        <v>0</v>
      </c>
      <c r="K179" s="269" t="s">
        <v>231</v>
      </c>
      <c r="L179" s="222" t="str">
        <f>IF(G179*J179=0,"",J179/G179)</f>
        <v/>
      </c>
      <c r="M179" s="134">
        <f>G179-E179</f>
        <v>0</v>
      </c>
      <c r="N179" s="134">
        <f>J179-G179</f>
        <v>0</v>
      </c>
      <c r="O179" s="1363"/>
    </row>
    <row r="180" spans="1:15" ht="6.75" customHeight="1" x14ac:dyDescent="0.2"/>
    <row r="181" spans="1:15" ht="17.25" customHeight="1" x14ac:dyDescent="0.2">
      <c r="A181" s="1555" t="s">
        <v>232</v>
      </c>
      <c r="B181" s="1556"/>
      <c r="C181" s="1556"/>
      <c r="D181" s="1556"/>
      <c r="E181" s="191">
        <f>E129-E131-(E96+SUMIF($C$97:$C$116,"V",$E$97:$E$116)+E122+E135+SUMIF($C$138:$C$155,"V",$E$138:$E$155)-E121)</f>
        <v>0</v>
      </c>
      <c r="F181" s="266" t="s">
        <v>234</v>
      </c>
      <c r="G181" s="191">
        <f>G129-G131-(G96+SUMIF($C$97:$C$116,"V",$G$97:$G$116)+G122+G135+SUMIF($C$138:$C$155,"V",$G$138:$G$155)-G121)</f>
        <v>0</v>
      </c>
      <c r="H181" s="270" t="s">
        <v>234</v>
      </c>
      <c r="I181" s="192" t="e">
        <f>G181/E181</f>
        <v>#DIV/0!</v>
      </c>
      <c r="J181" s="191">
        <f>J129-J131-(J96+SUMIF($C$97:$C$116,"V",$J$97:$J$116)+J122+J135+SUMIF($C$138:$C$155,"V",$J$138:$J$155)-J121)</f>
        <v>0</v>
      </c>
      <c r="K181" s="270" t="s">
        <v>234</v>
      </c>
      <c r="L181" s="118" t="e">
        <f>J181/G181</f>
        <v>#DIV/0!</v>
      </c>
      <c r="M181" s="193">
        <f>G181-E181</f>
        <v>0</v>
      </c>
      <c r="N181" s="193">
        <f>J181-G181</f>
        <v>0</v>
      </c>
    </row>
    <row r="182" spans="1:15" ht="17.25" customHeight="1" x14ac:dyDescent="0.2">
      <c r="A182" s="1553" t="s">
        <v>233</v>
      </c>
      <c r="B182" s="1554"/>
      <c r="C182" s="1554"/>
      <c r="D182" s="1554"/>
      <c r="E182" s="234">
        <f>E102+E142</f>
        <v>0</v>
      </c>
      <c r="F182" s="271" t="s">
        <v>234</v>
      </c>
      <c r="G182" s="234">
        <f>G102+G142</f>
        <v>0</v>
      </c>
      <c r="H182" s="272" t="s">
        <v>234</v>
      </c>
      <c r="I182" s="208" t="e">
        <f>G182/E182</f>
        <v>#DIV/0!</v>
      </c>
      <c r="J182" s="234">
        <f>J102+J142</f>
        <v>0</v>
      </c>
      <c r="K182" s="272" t="s">
        <v>234</v>
      </c>
      <c r="L182" s="122" t="e">
        <f>J182/G182</f>
        <v>#DIV/0!</v>
      </c>
      <c r="M182" s="161">
        <f>G182-E182</f>
        <v>0</v>
      </c>
      <c r="N182" s="161">
        <f>J182-G182</f>
        <v>0</v>
      </c>
    </row>
    <row r="183" spans="1:15" ht="21.75" customHeight="1" x14ac:dyDescent="0.2">
      <c r="A183" s="1562" t="s">
        <v>235</v>
      </c>
      <c r="B183" s="1554"/>
      <c r="C183" s="1554"/>
      <c r="D183" s="1554"/>
      <c r="E183" s="234">
        <f>E171+E182-E173-E174</f>
        <v>0</v>
      </c>
      <c r="F183" s="271" t="s">
        <v>234</v>
      </c>
      <c r="G183" s="234">
        <f>G171+G182-G173-G174</f>
        <v>0</v>
      </c>
      <c r="H183" s="272" t="s">
        <v>234</v>
      </c>
      <c r="I183" s="208" t="e">
        <f>G183/E183</f>
        <v>#DIV/0!</v>
      </c>
      <c r="J183" s="234">
        <f>J171+J182-J173-J174</f>
        <v>0</v>
      </c>
      <c r="K183" s="272" t="s">
        <v>234</v>
      </c>
      <c r="L183" s="122" t="e">
        <f>J183/G183</f>
        <v>#DIV/0!</v>
      </c>
      <c r="M183" s="161">
        <f>G183-E183</f>
        <v>0</v>
      </c>
      <c r="N183" s="161">
        <f>J183-G183</f>
        <v>0</v>
      </c>
    </row>
    <row r="184" spans="1:15" ht="17.25" customHeight="1" x14ac:dyDescent="0.2">
      <c r="A184" s="1553" t="s">
        <v>340</v>
      </c>
      <c r="B184" s="1554"/>
      <c r="C184" s="1554"/>
      <c r="D184" s="1554"/>
      <c r="E184" s="273">
        <f>E53+E62+E63+E83</f>
        <v>0</v>
      </c>
      <c r="F184" s="271" t="s">
        <v>234</v>
      </c>
      <c r="G184" s="273">
        <f>G53+G62+G63+G83</f>
        <v>0</v>
      </c>
      <c r="H184" s="272" t="s">
        <v>234</v>
      </c>
      <c r="I184" s="208" t="e">
        <f>G184/E184</f>
        <v>#DIV/0!</v>
      </c>
      <c r="J184" s="273">
        <f>J53+J62+J63+J83</f>
        <v>0</v>
      </c>
      <c r="K184" s="272" t="s">
        <v>234</v>
      </c>
      <c r="L184" s="122" t="e">
        <f>J184/G184</f>
        <v>#DIV/0!</v>
      </c>
      <c r="M184" s="161">
        <f>G184-E184</f>
        <v>0</v>
      </c>
      <c r="N184" s="161">
        <f>J184-G184</f>
        <v>0</v>
      </c>
    </row>
    <row r="185" spans="1:15" ht="17.25" customHeight="1" x14ac:dyDescent="0.2">
      <c r="A185" s="1473" t="s">
        <v>230</v>
      </c>
      <c r="B185" s="1519"/>
      <c r="C185" s="1519"/>
      <c r="D185" s="1519"/>
      <c r="E185" s="194">
        <f>E101+E138+E139+E140+E141</f>
        <v>0</v>
      </c>
      <c r="F185" s="268" t="s">
        <v>234</v>
      </c>
      <c r="G185" s="194">
        <f>G101+G138+G139+G140+G141</f>
        <v>0</v>
      </c>
      <c r="H185" s="274" t="s">
        <v>234</v>
      </c>
      <c r="I185" s="195" t="e">
        <f>G185/E185</f>
        <v>#DIV/0!</v>
      </c>
      <c r="J185" s="194">
        <f>J101+J138+J139+J140+J141</f>
        <v>0</v>
      </c>
      <c r="K185" s="274" t="s">
        <v>234</v>
      </c>
      <c r="L185" s="127" t="e">
        <f>J185/G185</f>
        <v>#DIV/0!</v>
      </c>
      <c r="M185" s="196">
        <f>G185-E185</f>
        <v>0</v>
      </c>
      <c r="N185" s="196">
        <f>J185-G185</f>
        <v>0</v>
      </c>
    </row>
    <row r="186" spans="1:15" x14ac:dyDescent="0.2">
      <c r="A186" s="103"/>
      <c r="E186" s="103"/>
    </row>
    <row r="188" spans="1:15" x14ac:dyDescent="0.2">
      <c r="A188" s="103"/>
    </row>
    <row r="190" spans="1:15" x14ac:dyDescent="0.2">
      <c r="A190" s="103"/>
    </row>
    <row r="191" spans="1:15" x14ac:dyDescent="0.2">
      <c r="A191" s="103"/>
    </row>
    <row r="192" spans="1:15" x14ac:dyDescent="0.2">
      <c r="A192" s="103"/>
    </row>
  </sheetData>
  <sheetProtection selectLockedCells="1"/>
  <mergeCells count="95">
    <mergeCell ref="O168:O169"/>
    <mergeCell ref="O8:O9"/>
    <mergeCell ref="O12:O16"/>
    <mergeCell ref="O134:O135"/>
    <mergeCell ref="O153:O155"/>
    <mergeCell ref="D1:E1"/>
    <mergeCell ref="C133:D133"/>
    <mergeCell ref="A2:O2"/>
    <mergeCell ref="F89:N89"/>
    <mergeCell ref="F125:N125"/>
    <mergeCell ref="A88:D88"/>
    <mergeCell ref="B96:D96"/>
    <mergeCell ref="B101:D101"/>
    <mergeCell ref="B117:D117"/>
    <mergeCell ref="B123:D123"/>
    <mergeCell ref="B121:D121"/>
    <mergeCell ref="B122:D122"/>
    <mergeCell ref="B120:D120"/>
    <mergeCell ref="M91:N91"/>
    <mergeCell ref="O91:O92"/>
    <mergeCell ref="O4:O5"/>
    <mergeCell ref="A184:D184"/>
    <mergeCell ref="A181:D181"/>
    <mergeCell ref="A182:D182"/>
    <mergeCell ref="M127:N127"/>
    <mergeCell ref="O127:O128"/>
    <mergeCell ref="A127:D128"/>
    <mergeCell ref="A129:D129"/>
    <mergeCell ref="A183:D183"/>
    <mergeCell ref="A166:D166"/>
    <mergeCell ref="A169:D169"/>
    <mergeCell ref="A171:D171"/>
    <mergeCell ref="A167:B168"/>
    <mergeCell ref="C167:D167"/>
    <mergeCell ref="C168:D168"/>
    <mergeCell ref="A170:D170"/>
    <mergeCell ref="A177:D177"/>
    <mergeCell ref="A185:D185"/>
    <mergeCell ref="A137:D137"/>
    <mergeCell ref="A130:B136"/>
    <mergeCell ref="A138:B156"/>
    <mergeCell ref="A157:D157"/>
    <mergeCell ref="A158:B165"/>
    <mergeCell ref="C158:C161"/>
    <mergeCell ref="C163:C164"/>
    <mergeCell ref="C134:D134"/>
    <mergeCell ref="C135:D135"/>
    <mergeCell ref="C132:D132"/>
    <mergeCell ref="C130:D130"/>
    <mergeCell ref="C131:D131"/>
    <mergeCell ref="A179:D179"/>
    <mergeCell ref="B173:D173"/>
    <mergeCell ref="B174:D174"/>
    <mergeCell ref="A178:D178"/>
    <mergeCell ref="B62:C68"/>
    <mergeCell ref="A51:A69"/>
    <mergeCell ref="B119:D119"/>
    <mergeCell ref="B118:D118"/>
    <mergeCell ref="B79:D79"/>
    <mergeCell ref="A71:A79"/>
    <mergeCell ref="B71:C76"/>
    <mergeCell ref="B77:D77"/>
    <mergeCell ref="B78:D78"/>
    <mergeCell ref="A80:D80"/>
    <mergeCell ref="A91:D92"/>
    <mergeCell ref="B82:D82"/>
    <mergeCell ref="B83:D83"/>
    <mergeCell ref="B84:D84"/>
    <mergeCell ref="A93:A123"/>
    <mergeCell ref="M4:N4"/>
    <mergeCell ref="C38:D38"/>
    <mergeCell ref="C48:D48"/>
    <mergeCell ref="A50:D50"/>
    <mergeCell ref="C29:C36"/>
    <mergeCell ref="C39:C46"/>
    <mergeCell ref="B29:B48"/>
    <mergeCell ref="A6:A49"/>
    <mergeCell ref="C6:C11"/>
    <mergeCell ref="B28:D28"/>
    <mergeCell ref="B49:D49"/>
    <mergeCell ref="A4:D5"/>
    <mergeCell ref="C12:C15"/>
    <mergeCell ref="B6:B27"/>
    <mergeCell ref="C17:C26"/>
    <mergeCell ref="B102:B116"/>
    <mergeCell ref="B61:D61"/>
    <mergeCell ref="B51:C60"/>
    <mergeCell ref="B69:D69"/>
    <mergeCell ref="A87:D87"/>
    <mergeCell ref="A70:D70"/>
    <mergeCell ref="C93:D93"/>
    <mergeCell ref="C94:D94"/>
    <mergeCell ref="C95:D95"/>
    <mergeCell ref="B93:B95"/>
    <mergeCell ref="B97:B100"/>
  </mergeCells>
  <phoneticPr fontId="2"/>
  <conditionalFormatting sqref="E81:E82 G81:G82 J81:J82">
    <cfRule type="cellIs" dxfId="33" priority="1" stopIfTrue="1" operator="notEqual">
      <formula>0</formula>
    </cfRule>
  </conditionalFormatting>
  <pageMargins left="0.62992125984251968" right="0.23622047244094491" top="0.70866141732283472" bottom="0.19685039370078741" header="0.51181102362204722" footer="0.31496062992125984"/>
  <pageSetup paperSize="8" scale="77" fitToHeight="2" orientation="portrait" r:id="rId1"/>
  <headerFooter alignWithMargins="0"/>
  <rowBreaks count="1" manualBreakCount="1">
    <brk id="88" max="1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G224"/>
  <sheetViews>
    <sheetView showGridLines="0" zoomScaleNormal="100" zoomScaleSheetLayoutView="80" workbookViewId="0">
      <selection activeCell="F72" sqref="F72"/>
    </sheetView>
  </sheetViews>
  <sheetFormatPr defaultColWidth="9" defaultRowHeight="13.2" x14ac:dyDescent="0.2"/>
  <cols>
    <col min="1" max="3" width="3.6640625" style="4" customWidth="1"/>
    <col min="4" max="4" width="7.6640625" style="100" customWidth="1"/>
    <col min="5" max="7" width="13.109375" style="100" customWidth="1"/>
    <col min="8" max="9" width="13.109375" style="283" customWidth="1"/>
    <col min="10" max="10" width="6.77734375" style="280" customWidth="1"/>
    <col min="11" max="11" width="6.77734375" style="281" customWidth="1"/>
    <col min="12" max="12" width="13.109375" style="282" customWidth="1"/>
    <col min="13" max="13" width="13.109375" style="100" customWidth="1"/>
    <col min="14" max="15" width="13.109375" style="282" customWidth="1"/>
    <col min="16" max="18" width="13.109375" style="4" customWidth="1"/>
    <col min="19" max="19" width="5.109375" style="4" customWidth="1"/>
    <col min="20" max="41" width="13.109375" style="4" customWidth="1"/>
    <col min="42" max="16384" width="9" style="4"/>
  </cols>
  <sheetData>
    <row r="1" spans="1:32" ht="16.2" x14ac:dyDescent="0.2">
      <c r="A1" s="98">
        <f>'財務諸表（入力）'!D1</f>
        <v>0</v>
      </c>
      <c r="D1" s="4"/>
      <c r="F1" s="103"/>
      <c r="G1" s="103"/>
      <c r="H1" s="279"/>
      <c r="I1" s="279"/>
    </row>
    <row r="2" spans="1:32" ht="13.8" thickBot="1" x14ac:dyDescent="0.25">
      <c r="E2" s="103"/>
      <c r="F2" s="103"/>
      <c r="G2" s="103"/>
      <c r="H2" s="279"/>
      <c r="I2" s="279"/>
    </row>
    <row r="3" spans="1:32" ht="24" customHeight="1" thickBot="1" x14ac:dyDescent="0.25">
      <c r="A3" s="1635" t="s">
        <v>236</v>
      </c>
      <c r="B3" s="1572"/>
      <c r="C3" s="1572"/>
      <c r="D3" s="1572"/>
      <c r="E3" s="1572"/>
      <c r="F3" s="1701"/>
      <c r="G3" s="279"/>
      <c r="M3" s="101"/>
    </row>
    <row r="4" spans="1:32" ht="18" customHeight="1" x14ac:dyDescent="0.2">
      <c r="D4" s="103"/>
      <c r="G4" s="106" t="s">
        <v>216</v>
      </c>
      <c r="H4" s="100"/>
      <c r="I4" s="100"/>
      <c r="J4" s="1704" t="s">
        <v>239</v>
      </c>
      <c r="K4" s="1705"/>
    </row>
    <row r="5" spans="1:32" ht="18" customHeight="1" x14ac:dyDescent="0.2">
      <c r="A5" s="1523"/>
      <c r="B5" s="1523"/>
      <c r="C5" s="1523"/>
      <c r="D5" s="1806"/>
      <c r="E5" s="284" t="str">
        <f>'財務諸表（入力）'!$E$5</f>
        <v>前々期</v>
      </c>
      <c r="F5" s="284" t="str">
        <f>'財務諸表（入力）'!$G$5</f>
        <v>前期</v>
      </c>
      <c r="G5" s="285" t="str">
        <f>'財務諸表（入力）'!$J$5</f>
        <v>今期</v>
      </c>
      <c r="H5" s="1706" t="s">
        <v>3</v>
      </c>
      <c r="I5" s="1628"/>
      <c r="J5" s="286" t="str">
        <f>F5</f>
        <v>前期</v>
      </c>
      <c r="K5" s="201" t="str">
        <f>G5</f>
        <v>今期</v>
      </c>
      <c r="L5"/>
      <c r="O5" s="287"/>
      <c r="AC5" s="4" t="s">
        <v>189</v>
      </c>
    </row>
    <row r="6" spans="1:32" ht="18" customHeight="1" x14ac:dyDescent="0.2">
      <c r="A6" s="1807" t="s">
        <v>5</v>
      </c>
      <c r="B6" s="1807"/>
      <c r="C6" s="1807"/>
      <c r="D6" s="1807"/>
      <c r="E6" s="289">
        <f>'財務諸表（入力）'!E129</f>
        <v>0</v>
      </c>
      <c r="F6" s="290">
        <f>'財務諸表（入力）'!G129</f>
        <v>0</v>
      </c>
      <c r="G6" s="289">
        <f>'財務諸表（入力）'!J129</f>
        <v>0</v>
      </c>
      <c r="H6" s="1707"/>
      <c r="I6" s="1605"/>
      <c r="J6" s="291" t="e">
        <f t="shared" ref="J6:K14" si="0">IF(F6="","",F6/E6)</f>
        <v>#DIV/0!</v>
      </c>
      <c r="K6" s="291" t="e">
        <f t="shared" si="0"/>
        <v>#DIV/0!</v>
      </c>
      <c r="L6"/>
      <c r="N6" s="292"/>
      <c r="O6" s="293"/>
      <c r="AD6" s="294" t="str">
        <f>'財務諸表（入力）'!$E$5</f>
        <v>前々期</v>
      </c>
      <c r="AE6" s="294" t="str">
        <f>'財務諸表（入力）'!$G$5</f>
        <v>前期</v>
      </c>
      <c r="AF6" s="295" t="str">
        <f>'財務諸表（入力）'!$J$5</f>
        <v>今期</v>
      </c>
    </row>
    <row r="7" spans="1:32" ht="18" customHeight="1" x14ac:dyDescent="0.2">
      <c r="A7" s="1808" t="s">
        <v>6</v>
      </c>
      <c r="B7" s="1808"/>
      <c r="C7" s="1808"/>
      <c r="D7" s="1808"/>
      <c r="E7" s="297">
        <f>'財務諸表（入力）'!E96+SUMIF('財務諸表（入力）'!$C$97:$C$116,"V",'財務諸表（入力）'!$E$97:$E$116)+'財務諸表（入力）'!E122+'財務諸表（入力）'!E131+'財務諸表（入力）'!E135+SUMIF('財務諸表（入力）'!$C$138:$C$155,"V",'財務諸表（入力）'!$E$138:$E$155)-'財務諸表（入力）'!E121-'財務諸表（入力）'!E133</f>
        <v>0</v>
      </c>
      <c r="F7" s="297">
        <f>'財務諸表（入力）'!G96+SUMIF('財務諸表（入力）'!$C$97:$C$116,"V",'財務諸表（入力）'!$G$97:$G$116)+'財務諸表（入力）'!G122+'財務諸表（入力）'!G131+'財務諸表（入力）'!G135+SUMIF('財務諸表（入力）'!$C$138:$C$155,"V",'財務諸表（入力）'!$G$138:$G$155)-'財務諸表（入力）'!$G121-'財務諸表（入力）'!G133</f>
        <v>0</v>
      </c>
      <c r="G7" s="297">
        <f>'財務諸表（入力）'!J96+SUMIF('財務諸表（入力）'!$C$97:$C$116,"V",'財務諸表（入力）'!$J$97:$J$116)+'財務諸表（入力）'!J122+'財務諸表（入力）'!J131+'財務諸表（入力）'!J135+SUMIF('財務諸表（入力）'!$C$138:$C$155,"V",'財務諸表（入力）'!$J$138:$J$155)-'財務諸表（入力）'!$J121-'財務諸表（入力）'!J133</f>
        <v>0</v>
      </c>
      <c r="H7" s="1661"/>
      <c r="I7" s="1662"/>
      <c r="J7" s="298" t="e">
        <f t="shared" si="0"/>
        <v>#DIV/0!</v>
      </c>
      <c r="K7" s="298" t="e">
        <f t="shared" si="0"/>
        <v>#DIV/0!</v>
      </c>
      <c r="L7"/>
      <c r="AC7" s="299" t="s">
        <v>188</v>
      </c>
      <c r="AD7" s="300">
        <f>'財務諸表（入力）'!E96</f>
        <v>0</v>
      </c>
      <c r="AE7" s="300">
        <f>'財務諸表（入力）'!G96</f>
        <v>0</v>
      </c>
      <c r="AF7" s="300">
        <f>'財務諸表（入力）'!J96</f>
        <v>0</v>
      </c>
    </row>
    <row r="8" spans="1:32" ht="18" customHeight="1" x14ac:dyDescent="0.2">
      <c r="A8" s="1808" t="s">
        <v>7</v>
      </c>
      <c r="B8" s="1808"/>
      <c r="C8" s="1808"/>
      <c r="D8" s="1808"/>
      <c r="E8" s="125">
        <f t="shared" ref="E8:F8" si="1">E6-E7</f>
        <v>0</v>
      </c>
      <c r="F8" s="125">
        <f t="shared" si="1"/>
        <v>0</v>
      </c>
      <c r="G8" s="125">
        <f>G6-G7</f>
        <v>0</v>
      </c>
      <c r="H8" s="1661" t="s">
        <v>8</v>
      </c>
      <c r="I8" s="1662"/>
      <c r="J8" s="301" t="e">
        <f t="shared" si="0"/>
        <v>#DIV/0!</v>
      </c>
      <c r="K8" s="301" t="e">
        <f t="shared" si="0"/>
        <v>#DIV/0!</v>
      </c>
      <c r="L8"/>
      <c r="AC8" s="299" t="s">
        <v>191</v>
      </c>
      <c r="AD8" s="300">
        <f>SUMIF('財務諸表（入力）'!$C$97:$C$100,"V",'財務諸表（入力）'!$E$97:$E$100)</f>
        <v>0</v>
      </c>
      <c r="AE8" s="300">
        <f>SUMIF('財務諸表（入力）'!$C$97:$C$100,"V",'財務諸表（入力）'!$G$97:$G$100)</f>
        <v>0</v>
      </c>
      <c r="AF8" s="300">
        <f>SUMIF('財務諸表（入力）'!$C$97:$C$100,"V",'財務諸表（入力）'!$J$97:$J$100)</f>
        <v>0</v>
      </c>
    </row>
    <row r="9" spans="1:32" ht="18" customHeight="1" x14ac:dyDescent="0.2">
      <c r="A9" s="1808" t="s">
        <v>10</v>
      </c>
      <c r="B9" s="1808"/>
      <c r="C9" s="1808"/>
      <c r="D9" s="1808"/>
      <c r="E9" s="302" t="str">
        <f>IF(E8*E6=0,"",E8/E6)</f>
        <v/>
      </c>
      <c r="F9" s="302" t="str">
        <f>IF(F8*F6=0,"",F8/F6)</f>
        <v/>
      </c>
      <c r="G9" s="302" t="str">
        <f>IF(G8*G6=0,"",G8/G6)</f>
        <v/>
      </c>
      <c r="H9" s="1661" t="s">
        <v>11</v>
      </c>
      <c r="I9" s="1662"/>
      <c r="J9" s="303" t="str">
        <f t="shared" si="0"/>
        <v/>
      </c>
      <c r="K9" s="303" t="str">
        <f t="shared" si="0"/>
        <v/>
      </c>
      <c r="L9"/>
      <c r="AC9" s="299" t="s">
        <v>192</v>
      </c>
      <c r="AD9" s="300">
        <f>SUMIF('財務諸表（入力）'!$C$102:$C$116,"V",'財務諸表（入力）'!$E$102:$E$116)</f>
        <v>0</v>
      </c>
      <c r="AE9" s="300">
        <f>SUMIF('財務諸表（入力）'!$C$102:$C$116,"V",'財務諸表（入力）'!$G$102:$G$116)</f>
        <v>0</v>
      </c>
      <c r="AF9" s="300">
        <f>SUMIF('財務諸表（入力）'!$C$102:$C$116,"V",'財務諸表（入力）'!$J$102:$J$116)</f>
        <v>0</v>
      </c>
    </row>
    <row r="10" spans="1:32" ht="18" customHeight="1" x14ac:dyDescent="0.2">
      <c r="A10" s="1808" t="s">
        <v>13</v>
      </c>
      <c r="B10" s="1808"/>
      <c r="C10" s="1808"/>
      <c r="D10" s="1808"/>
      <c r="E10" s="125">
        <f>SUMIF('財務諸表（入力）'!$C$97:$C$116,"F",'財務諸表（入力）'!$E$97:$E$116)+SUMIF('財務諸表（入力）'!$C$138:$C$155,"F",'財務諸表（入力）'!$E$138:$E$155)+'財務諸表（入力）'!E165-'財務諸表（入力）'!E162</f>
        <v>0</v>
      </c>
      <c r="F10" s="125">
        <f>SUMIF('財務諸表（入力）'!$C$97:$C$116,"F",'財務諸表（入力）'!$G$97:$G$116)+SUMIF('財務諸表（入力）'!$C$138:$C$155,"F",'財務諸表（入力）'!$G$138:$G$155)+'財務諸表（入力）'!G165-'財務諸表（入力）'!G162</f>
        <v>0</v>
      </c>
      <c r="G10" s="125">
        <f>SUMIF('財務諸表（入力）'!$C$97:$C$116,"F",'財務諸表（入力）'!$J$97:$J$116)+SUMIF('財務諸表（入力）'!$C$138:$C$155,"F",'財務諸表（入力）'!$J$138:$J$155)+'財務諸表（入力）'!J165-'財務諸表（入力）'!J162</f>
        <v>0</v>
      </c>
      <c r="H10" s="1661"/>
      <c r="I10" s="1662"/>
      <c r="J10" s="301" t="e">
        <f t="shared" si="0"/>
        <v>#DIV/0!</v>
      </c>
      <c r="K10" s="301" t="e">
        <f t="shared" si="0"/>
        <v>#DIV/0!</v>
      </c>
      <c r="L10"/>
      <c r="AC10" s="299" t="s">
        <v>181</v>
      </c>
      <c r="AD10" s="300">
        <f>SUMIF('財務諸表（入力）'!$C$138:$C$155,"V",'財務諸表（入力）'!$E$138:$E$155)</f>
        <v>0</v>
      </c>
      <c r="AE10" s="300">
        <f>SUMIF('財務諸表（入力）'!$C$138:$C$155,"V",'財務諸表（入力）'!$G$138:$G$155)</f>
        <v>0</v>
      </c>
      <c r="AF10" s="300">
        <f>SUMIF('財務諸表（入力）'!$C$138:$C$155,"V",'財務諸表（入力）'!$J$138:$J$155)</f>
        <v>0</v>
      </c>
    </row>
    <row r="11" spans="1:32" ht="18" customHeight="1" thickBot="1" x14ac:dyDescent="0.25">
      <c r="A11" s="1813" t="s">
        <v>179</v>
      </c>
      <c r="B11" s="1813"/>
      <c r="C11" s="1813"/>
      <c r="D11" s="1813"/>
      <c r="E11" s="304">
        <f>E8-E10</f>
        <v>0</v>
      </c>
      <c r="F11" s="304">
        <f>F8-F10</f>
        <v>0</v>
      </c>
      <c r="G11" s="304">
        <f>G8-G10</f>
        <v>0</v>
      </c>
      <c r="H11" s="1711" t="s">
        <v>180</v>
      </c>
      <c r="I11" s="1646"/>
      <c r="J11" s="305" t="e">
        <f t="shared" si="0"/>
        <v>#DIV/0!</v>
      </c>
      <c r="K11" s="305" t="e">
        <f t="shared" si="0"/>
        <v>#DIV/0!</v>
      </c>
      <c r="L11"/>
      <c r="AC11" s="299" t="s">
        <v>185</v>
      </c>
      <c r="AD11" s="300">
        <f>'財務諸表（入力）'!E122</f>
        <v>0</v>
      </c>
      <c r="AE11" s="300">
        <f>'財務諸表（入力）'!G122</f>
        <v>0</v>
      </c>
      <c r="AF11" s="300">
        <f>'財務諸表（入力）'!J122</f>
        <v>0</v>
      </c>
    </row>
    <row r="12" spans="1:32" ht="18" customHeight="1" thickTop="1" x14ac:dyDescent="0.2">
      <c r="A12" s="1814" t="s">
        <v>237</v>
      </c>
      <c r="B12" s="1814"/>
      <c r="C12" s="1814"/>
      <c r="D12" s="1814"/>
      <c r="E12" s="306" t="e">
        <f>IF(E10*E9=0,"",E10/E9)</f>
        <v>#VALUE!</v>
      </c>
      <c r="F12" s="306" t="e">
        <f>IF(F10*F9=0,"",F10/F9)</f>
        <v>#VALUE!</v>
      </c>
      <c r="G12" s="306" t="e">
        <f>IF(G10*G9=0,"",G10/G9)</f>
        <v>#VALUE!</v>
      </c>
      <c r="H12" s="1712" t="s">
        <v>15</v>
      </c>
      <c r="I12" s="1713"/>
      <c r="J12" s="307" t="e">
        <f t="shared" si="0"/>
        <v>#VALUE!</v>
      </c>
      <c r="K12" s="307" t="e">
        <f t="shared" si="0"/>
        <v>#VALUE!</v>
      </c>
      <c r="L12"/>
      <c r="AC12" s="299" t="s">
        <v>186</v>
      </c>
      <c r="AD12" s="300">
        <f>'財務諸表（入力）'!E131</f>
        <v>0</v>
      </c>
      <c r="AE12" s="300">
        <f>'財務諸表（入力）'!G131</f>
        <v>0</v>
      </c>
      <c r="AF12" s="300">
        <f>'財務諸表（入力）'!J131</f>
        <v>0</v>
      </c>
    </row>
    <row r="13" spans="1:32" ht="18" customHeight="1" x14ac:dyDescent="0.2">
      <c r="A13" s="1808" t="s">
        <v>238</v>
      </c>
      <c r="B13" s="1808"/>
      <c r="C13" s="1808"/>
      <c r="D13" s="1808"/>
      <c r="E13" s="308" t="e">
        <f>IF(E12*E6=0,"",E12/E6)</f>
        <v>#VALUE!</v>
      </c>
      <c r="F13" s="308" t="e">
        <f>IF(F12*F6=0,"",F12/F6)</f>
        <v>#VALUE!</v>
      </c>
      <c r="G13" s="308" t="e">
        <f>IF(G12*G6=0,"",G12/G6)</f>
        <v>#VALUE!</v>
      </c>
      <c r="H13" s="1661" t="s">
        <v>240</v>
      </c>
      <c r="I13" s="1662"/>
      <c r="J13" s="309" t="e">
        <f t="shared" si="0"/>
        <v>#VALUE!</v>
      </c>
      <c r="K13" s="309" t="e">
        <f t="shared" si="0"/>
        <v>#VALUE!</v>
      </c>
      <c r="L13"/>
      <c r="AC13" s="299" t="s">
        <v>187</v>
      </c>
      <c r="AD13" s="300">
        <f>'財務諸表（入力）'!E135</f>
        <v>0</v>
      </c>
      <c r="AE13" s="300">
        <f>'財務諸表（入力）'!G135</f>
        <v>0</v>
      </c>
      <c r="AF13" s="300">
        <f>'財務諸表（入力）'!J135</f>
        <v>0</v>
      </c>
    </row>
    <row r="14" spans="1:32" ht="18" customHeight="1" x14ac:dyDescent="0.2">
      <c r="A14" s="1631" t="s">
        <v>345</v>
      </c>
      <c r="B14" s="1815"/>
      <c r="C14" s="1815"/>
      <c r="D14" s="1815"/>
      <c r="E14" s="311" t="e">
        <f>IF(E13=0,"",1-E13)</f>
        <v>#VALUE!</v>
      </c>
      <c r="F14" s="311" t="e">
        <f>IF(F13=0,"",1-F13)</f>
        <v>#VALUE!</v>
      </c>
      <c r="G14" s="311" t="e">
        <f>IF(G13=0,"",1-G13)</f>
        <v>#VALUE!</v>
      </c>
      <c r="H14" s="1714" t="s">
        <v>511</v>
      </c>
      <c r="I14" s="1625"/>
      <c r="J14" s="312" t="e">
        <f t="shared" si="0"/>
        <v>#VALUE!</v>
      </c>
      <c r="K14" s="312" t="e">
        <f t="shared" si="0"/>
        <v>#VALUE!</v>
      </c>
      <c r="L14"/>
      <c r="AC14" s="299" t="s">
        <v>171</v>
      </c>
      <c r="AD14" s="300">
        <f>'財務諸表（入力）'!E121</f>
        <v>0</v>
      </c>
      <c r="AE14" s="300">
        <f>'財務諸表（入力）'!G121</f>
        <v>0</v>
      </c>
      <c r="AF14" s="300">
        <f>'財務諸表（入力）'!J121</f>
        <v>0</v>
      </c>
    </row>
    <row r="15" spans="1:32" ht="17.25" customHeight="1" x14ac:dyDescent="0.2">
      <c r="A15" s="1809" t="s">
        <v>133</v>
      </c>
      <c r="B15" s="1809"/>
      <c r="C15" s="1809"/>
      <c r="D15" s="1809"/>
      <c r="E15" s="313" t="str">
        <f>IF(E7*E6=0,"",E7/E6)</f>
        <v/>
      </c>
      <c r="F15" s="313" t="str">
        <f>IF(F7*F6=0,"",F7/F6)</f>
        <v/>
      </c>
      <c r="G15" s="313" t="str">
        <f>IF(G7*G6=0,"",G7/G6)</f>
        <v/>
      </c>
      <c r="H15" s="100"/>
      <c r="I15" s="100"/>
      <c r="J15" s="281"/>
      <c r="L15" s="100"/>
      <c r="AC15" s="299" t="s">
        <v>184</v>
      </c>
      <c r="AD15" s="300">
        <f>SUM(AD7:AD13)-AD14</f>
        <v>0</v>
      </c>
      <c r="AE15" s="300">
        <f>SUM(AE7:AE13)-AE14</f>
        <v>0</v>
      </c>
      <c r="AF15" s="300">
        <f>SUM(AF7:AF13)-AF14</f>
        <v>0</v>
      </c>
    </row>
    <row r="16" spans="1:32" ht="17.25" customHeight="1" x14ac:dyDescent="0.2">
      <c r="A16" s="1812" t="s">
        <v>134</v>
      </c>
      <c r="B16" s="1812"/>
      <c r="C16" s="1812"/>
      <c r="D16" s="1812"/>
      <c r="E16" s="314" t="str">
        <f>IF(E10*E6=0,"",E10/E6)</f>
        <v/>
      </c>
      <c r="F16" s="314" t="str">
        <f>IF(F10*F6=0,"",F10/F6)</f>
        <v/>
      </c>
      <c r="G16" s="314" t="str">
        <f>IF(G10*G6=0,"",G10/G6)</f>
        <v/>
      </c>
      <c r="H16" s="100"/>
      <c r="I16" s="100"/>
      <c r="J16" s="281"/>
      <c r="L16" s="100"/>
    </row>
    <row r="17" spans="1:15" ht="17.25" customHeight="1" x14ac:dyDescent="0.2">
      <c r="D17" s="106" t="s">
        <v>178</v>
      </c>
      <c r="E17" s="174">
        <f>'財務諸表（入力）'!E166-E11</f>
        <v>0</v>
      </c>
      <c r="F17" s="174">
        <f>'財務諸表（入力）'!G166-F11</f>
        <v>0</v>
      </c>
      <c r="G17" s="174">
        <f>'財務諸表（入力）'!J166-G11</f>
        <v>0</v>
      </c>
      <c r="H17" s="174"/>
      <c r="I17" s="174"/>
      <c r="J17" s="281"/>
      <c r="L17" s="100"/>
    </row>
    <row r="18" spans="1:15" ht="17.25" customHeight="1" x14ac:dyDescent="0.2">
      <c r="A18" s="1670" t="s">
        <v>276</v>
      </c>
      <c r="B18" s="1664"/>
      <c r="C18" s="1664"/>
      <c r="D18" s="1664"/>
      <c r="E18" s="1664"/>
      <c r="F18" s="1664"/>
      <c r="G18" s="1664"/>
      <c r="H18" s="1664"/>
      <c r="I18" s="1664"/>
      <c r="J18" s="1664"/>
      <c r="K18" s="1664"/>
      <c r="L18" s="100"/>
    </row>
    <row r="19" spans="1:15" ht="54" customHeight="1" x14ac:dyDescent="0.2">
      <c r="A19" s="1667"/>
      <c r="B19" s="1668"/>
      <c r="C19" s="1668"/>
      <c r="D19" s="1668"/>
      <c r="E19" s="1668"/>
      <c r="F19" s="1668"/>
      <c r="G19" s="1668"/>
      <c r="H19" s="1668"/>
      <c r="I19" s="1668"/>
      <c r="J19" s="1668"/>
      <c r="K19" s="1669"/>
      <c r="L19" s="100"/>
    </row>
    <row r="20" spans="1:15" ht="18" customHeight="1" x14ac:dyDescent="0.2">
      <c r="F20" s="111"/>
    </row>
    <row r="21" spans="1:15" ht="18" customHeight="1" thickBot="1" x14ac:dyDescent="0.25">
      <c r="F21" s="111"/>
    </row>
    <row r="22" spans="1:15" s="319" customFormat="1" ht="24" customHeight="1" thickBot="1" x14ac:dyDescent="0.25">
      <c r="A22" s="1635" t="s">
        <v>515</v>
      </c>
      <c r="B22" s="1572"/>
      <c r="C22" s="1572"/>
      <c r="D22" s="1572"/>
      <c r="E22" s="1572"/>
      <c r="F22" s="1572"/>
      <c r="G22" s="1701"/>
      <c r="H22" s="315"/>
      <c r="I22" s="315"/>
      <c r="J22" s="316"/>
      <c r="K22" s="317"/>
      <c r="L22" s="318"/>
      <c r="M22" s="198"/>
      <c r="N22" s="318"/>
      <c r="O22" s="318"/>
    </row>
    <row r="23" spans="1:15" s="319" customFormat="1" ht="24" customHeight="1" x14ac:dyDescent="0.2">
      <c r="D23" s="98"/>
      <c r="E23" s="198"/>
      <c r="F23" s="198"/>
      <c r="G23" s="315"/>
      <c r="H23" s="315"/>
      <c r="I23" s="315"/>
      <c r="J23" s="316"/>
      <c r="K23" s="317"/>
      <c r="L23" s="318"/>
      <c r="M23" s="198"/>
      <c r="N23" s="318"/>
      <c r="O23" s="318"/>
    </row>
    <row r="24" spans="1:15" ht="18" customHeight="1" x14ac:dyDescent="0.2">
      <c r="A24" s="97" t="s">
        <v>249</v>
      </c>
      <c r="E24" s="320"/>
      <c r="F24" s="320"/>
      <c r="G24" s="321"/>
      <c r="H24" s="322"/>
      <c r="I24" s="322"/>
      <c r="J24" s="323"/>
      <c r="M24" s="199"/>
    </row>
    <row r="25" spans="1:15" ht="15" customHeight="1" x14ac:dyDescent="0.2">
      <c r="A25" s="1776"/>
      <c r="B25" s="1776"/>
      <c r="C25" s="1776"/>
      <c r="D25" s="1776"/>
      <c r="E25" s="284" t="str">
        <f>'財務諸表（入力）'!$E$5</f>
        <v>前々期</v>
      </c>
      <c r="F25" s="284" t="str">
        <f>'財務諸表（入力）'!$G$5</f>
        <v>前期</v>
      </c>
      <c r="G25" s="285" t="str">
        <f>'財務諸表（入力）'!$J$5</f>
        <v>今期</v>
      </c>
      <c r="H25"/>
      <c r="I25"/>
      <c r="J25" s="324"/>
      <c r="K25" s="324"/>
      <c r="L25"/>
    </row>
    <row r="26" spans="1:15" ht="15" customHeight="1" x14ac:dyDescent="0.2">
      <c r="A26" s="1816" t="s">
        <v>23</v>
      </c>
      <c r="B26" s="1556"/>
      <c r="C26" s="1556"/>
      <c r="D26" s="1556"/>
      <c r="E26" s="325" t="str">
        <f>'財務諸表（入力）'!F28</f>
        <v/>
      </c>
      <c r="F26" s="325" t="str">
        <f>IF('財務諸表（入力）'!H28=0,"",'財務諸表（入力）'!H28)</f>
        <v/>
      </c>
      <c r="G26" s="325" t="str">
        <f>IF('財務諸表（入力）'!K28=0,"",'財務諸表（入力）'!K28)</f>
        <v/>
      </c>
      <c r="H26"/>
      <c r="I26"/>
      <c r="J26" s="324"/>
      <c r="K26" s="324"/>
      <c r="L26"/>
    </row>
    <row r="27" spans="1:15" ht="15" customHeight="1" x14ac:dyDescent="0.2">
      <c r="A27" s="1810" t="s">
        <v>24</v>
      </c>
      <c r="B27" s="1519"/>
      <c r="C27" s="1519"/>
      <c r="D27" s="1519"/>
      <c r="E27" s="326" t="str">
        <f>'財務諸表（入力）'!F49</f>
        <v/>
      </c>
      <c r="F27" s="326" t="str">
        <f>IF('財務諸表（入力）'!H49=0,"",'財務諸表（入力）'!H49)</f>
        <v/>
      </c>
      <c r="G27" s="326" t="str">
        <f>IF('財務諸表（入力）'!K49=0,"",'財務諸表（入力）'!K49)</f>
        <v/>
      </c>
      <c r="H27"/>
      <c r="I27"/>
      <c r="J27" s="324"/>
      <c r="K27" s="324"/>
      <c r="L27"/>
    </row>
    <row r="28" spans="1:15" ht="15" customHeight="1" x14ac:dyDescent="0.2">
      <c r="A28" s="1816" t="s">
        <v>25</v>
      </c>
      <c r="B28" s="1556"/>
      <c r="C28" s="1556"/>
      <c r="D28" s="1556"/>
      <c r="E28" s="327" t="str">
        <f>'財務諸表（入力）'!F61</f>
        <v/>
      </c>
      <c r="F28" s="327" t="str">
        <f>IF('財務諸表（入力）'!H61=0,"",'財務諸表（入力）'!H61)</f>
        <v/>
      </c>
      <c r="G28" s="327" t="str">
        <f>IF('財務諸表（入力）'!K61=0,"",'財務諸表（入力）'!K61)</f>
        <v/>
      </c>
      <c r="H28"/>
      <c r="I28"/>
      <c r="J28" s="324"/>
      <c r="K28" s="324"/>
      <c r="L28"/>
    </row>
    <row r="29" spans="1:15" ht="15" customHeight="1" x14ac:dyDescent="0.2">
      <c r="A29" s="1810" t="s">
        <v>26</v>
      </c>
      <c r="B29" s="1519"/>
      <c r="C29" s="1519"/>
      <c r="D29" s="1519"/>
      <c r="E29" s="328" t="str">
        <f>'財務諸表（入力）'!F69</f>
        <v/>
      </c>
      <c r="F29" s="328" t="str">
        <f>IF('財務諸表（入力）'!H69=0,"",'財務諸表（入力）'!H69)</f>
        <v/>
      </c>
      <c r="G29" s="328" t="str">
        <f>IF('財務諸表（入力）'!K69=0,"",'財務諸表（入力）'!K69)</f>
        <v/>
      </c>
      <c r="H29"/>
      <c r="I29"/>
      <c r="J29" s="324"/>
      <c r="K29" s="324"/>
      <c r="L29"/>
    </row>
    <row r="30" spans="1:15" ht="15" customHeight="1" thickBot="1" x14ac:dyDescent="0.25">
      <c r="A30" s="1811" t="s">
        <v>165</v>
      </c>
      <c r="B30" s="1795"/>
      <c r="C30" s="1795"/>
      <c r="D30" s="1795"/>
      <c r="E30" s="329" t="str">
        <f>'財務諸表（入力）'!F79</f>
        <v/>
      </c>
      <c r="F30" s="329" t="str">
        <f>IF('財務諸表（入力）'!H79=0,"",'財務諸表（入力）'!H79)</f>
        <v/>
      </c>
      <c r="G30" s="329" t="str">
        <f>IF('財務諸表（入力）'!K79=0,"",'財務諸表（入力）'!K79)</f>
        <v/>
      </c>
      <c r="H30"/>
      <c r="I30"/>
      <c r="J30" s="324"/>
      <c r="K30" s="324"/>
      <c r="L30"/>
    </row>
    <row r="31" spans="1:15" ht="15" customHeight="1" thickTop="1" x14ac:dyDescent="0.2">
      <c r="A31" s="1817" t="s">
        <v>246</v>
      </c>
      <c r="B31" s="1750"/>
      <c r="C31" s="1750"/>
      <c r="D31" s="1750"/>
      <c r="E31" s="330" t="e">
        <f>'財務諸表（入力）'!F80</f>
        <v>#VALUE!</v>
      </c>
      <c r="F31" s="330" t="e">
        <f>IF('財務諸表（入力）'!H80=0,"",'財務諸表（入力）'!H80)</f>
        <v>#VALUE!</v>
      </c>
      <c r="G31" s="330" t="e">
        <f>IF('財務諸表（入力）'!K80=0,"",'財務諸表（入力）'!K80)</f>
        <v>#VALUE!</v>
      </c>
      <c r="H31"/>
      <c r="I31"/>
      <c r="J31" s="324"/>
      <c r="K31" s="324"/>
      <c r="L31"/>
    </row>
    <row r="32" spans="1:15" ht="17.25" customHeight="1" x14ac:dyDescent="0.2"/>
    <row r="33" spans="1:13" ht="17.25" customHeight="1" x14ac:dyDescent="0.2">
      <c r="A33" s="97" t="s">
        <v>248</v>
      </c>
      <c r="E33" s="320"/>
      <c r="F33" s="320"/>
      <c r="G33" s="321"/>
      <c r="H33" s="322"/>
      <c r="I33" s="322"/>
      <c r="J33" s="323"/>
      <c r="M33" s="199"/>
    </row>
    <row r="34" spans="1:13" ht="15" customHeight="1" x14ac:dyDescent="0.2">
      <c r="A34" s="1776"/>
      <c r="B34" s="1776"/>
      <c r="C34" s="1776"/>
      <c r="D34" s="1776"/>
      <c r="E34" s="284" t="str">
        <f>'財務諸表（入力）'!$E$5</f>
        <v>前々期</v>
      </c>
      <c r="F34" s="284" t="str">
        <f>'財務諸表（入力）'!$G$5</f>
        <v>前期</v>
      </c>
      <c r="G34" s="285" t="str">
        <f>'財務諸表（入力）'!$J$5</f>
        <v>今期</v>
      </c>
      <c r="H34"/>
      <c r="I34"/>
    </row>
    <row r="35" spans="1:13" ht="15" customHeight="1" thickBot="1" x14ac:dyDescent="0.25">
      <c r="A35" s="1818" t="s">
        <v>250</v>
      </c>
      <c r="B35" s="1795"/>
      <c r="C35" s="1795"/>
      <c r="D35" s="1795"/>
      <c r="E35" s="332" t="str">
        <f>IF('財務諸表（入力）'!E129="","",'財務諸表（入力）'!E129/'財務諸表（入力）'!$E$129)</f>
        <v/>
      </c>
      <c r="F35" s="332" t="str">
        <f>IF('財務諸表（入力）'!G129="","",'財務諸表（入力）'!G129/'財務諸表（入力）'!$E$129)</f>
        <v/>
      </c>
      <c r="G35" s="332" t="str">
        <f>IF('財務諸表（入力）'!J129="","",'財務諸表（入力）'!J129/'財務諸表（入力）'!$E$129)</f>
        <v/>
      </c>
      <c r="H35"/>
      <c r="I35"/>
    </row>
    <row r="36" spans="1:13" ht="15" customHeight="1" thickTop="1" x14ac:dyDescent="0.2">
      <c r="A36" s="1766" t="s">
        <v>251</v>
      </c>
      <c r="B36" s="1767"/>
      <c r="C36" s="1767"/>
      <c r="D36" s="1767"/>
      <c r="E36" s="333" t="str">
        <f>IF('財務諸表（入力）'!E6="","",'財務諸表（入力）'!E6/'財務諸表（入力）'!$E$6)</f>
        <v/>
      </c>
      <c r="F36" s="333" t="str">
        <f>IF('財務諸表（入力）'!G6="","",'財務諸表（入力）'!G6/'財務諸表（入力）'!$E$6)</f>
        <v/>
      </c>
      <c r="G36" s="333" t="str">
        <f>IF('財務諸表（入力）'!J6="","",'財務諸表（入力）'!J6/'財務諸表（入力）'!$E$6)</f>
        <v/>
      </c>
      <c r="H36"/>
      <c r="I36"/>
    </row>
    <row r="37" spans="1:13" ht="15" customHeight="1" x14ac:dyDescent="0.2">
      <c r="A37" s="1702" t="s">
        <v>252</v>
      </c>
      <c r="B37" s="1554"/>
      <c r="C37" s="1554"/>
      <c r="D37" s="1554"/>
      <c r="E37" s="334" t="e">
        <f>IF(('財務諸表（入力）'!E9+'財務諸表（入力）'!E8+'財務諸表（入力）'!E83+'財務諸表（入力）'!E84)="","",('財務諸表（入力）'!E9+'財務諸表（入力）'!E8+'財務諸表（入力）'!E83+'財務諸表（入力）'!E84)/('財務諸表（入力）'!$E$9+'財務諸表（入力）'!$E$8+'財務諸表（入力）'!$E$83+'財務諸表（入力）'!$E$84))</f>
        <v>#DIV/0!</v>
      </c>
      <c r="F37" s="334" t="e">
        <f>IF(('財務諸表（入力）'!G9+'財務諸表（入力）'!G8+'財務諸表（入力）'!G83+'財務諸表（入力）'!G84)="","",('財務諸表（入力）'!G9+'財務諸表（入力）'!G8+'財務諸表（入力）'!G83+'財務諸表（入力）'!G84)/('財務諸表（入力）'!$E$9+'財務諸表（入力）'!$E$8+'財務諸表（入力）'!$E$83+'財務諸表（入力）'!$E$84))</f>
        <v>#DIV/0!</v>
      </c>
      <c r="G37" s="334" t="e">
        <f>IF(('財務諸表（入力）'!J9+'財務諸表（入力）'!J8+'財務諸表（入力）'!J83+'財務諸表（入力）'!J84)="","",('財務諸表（入力）'!J9+'財務諸表（入力）'!J8+'財務諸表（入力）'!J83+'財務諸表（入力）'!J84)/('財務諸表（入力）'!$E$9+'財務諸表（入力）'!$E$8+'財務諸表（入力）'!$E$83+'財務諸表（入力）'!$E$84))</f>
        <v>#DIV/0!</v>
      </c>
      <c r="H37"/>
      <c r="I37"/>
    </row>
    <row r="38" spans="1:13" ht="15" customHeight="1" x14ac:dyDescent="0.2">
      <c r="A38" s="1702" t="s">
        <v>253</v>
      </c>
      <c r="B38" s="1554"/>
      <c r="C38" s="1554"/>
      <c r="D38" s="1554"/>
      <c r="E38" s="334" t="e">
        <f>IF('財務諸表（入力）'!E16="","",('財務諸表（入力）'!E16/'財務諸表（入力）'!$E$16))</f>
        <v>#DIV/0!</v>
      </c>
      <c r="F38" s="334" t="e">
        <f>IF('財務諸表（入力）'!G16="","",('財務諸表（入力）'!G16/'財務諸表（入力）'!$E$16))</f>
        <v>#DIV/0!</v>
      </c>
      <c r="G38" s="334" t="e">
        <f>IF('財務諸表（入力）'!J16="","",('財務諸表（入力）'!J16/'財務諸表（入力）'!$E$16))</f>
        <v>#DIV/0!</v>
      </c>
      <c r="H38"/>
      <c r="I38"/>
    </row>
    <row r="39" spans="1:13" ht="15" customHeight="1" x14ac:dyDescent="0.2">
      <c r="A39" s="1702" t="s">
        <v>254</v>
      </c>
      <c r="B39" s="1554"/>
      <c r="C39" s="1554"/>
      <c r="D39" s="1554"/>
      <c r="E39" s="334" t="e">
        <f>IF(('財務諸表（入力）'!E51+'財務諸表（入力）'!E52+'財務諸表（入力）'!E84)="","",(('財務諸表（入力）'!E51+'財務諸表（入力）'!E52+'財務諸表（入力）'!E84)/('財務諸表（入力）'!$E$51+'財務諸表（入力）'!$E$52+'財務諸表（入力）'!$E$84)))</f>
        <v>#DIV/0!</v>
      </c>
      <c r="F39" s="334" t="e">
        <f>IF(('財務諸表（入力）'!G51+'財務諸表（入力）'!G52+'財務諸表（入力）'!G84)="","",(('財務諸表（入力）'!G51+'財務諸表（入力）'!G52+'財務諸表（入力）'!G84)/('財務諸表（入力）'!$E$51+'財務諸表（入力）'!$E$52+'財務諸表（入力）'!$E$84)))</f>
        <v>#DIV/0!</v>
      </c>
      <c r="G39" s="334" t="e">
        <f>IF(('財務諸表（入力）'!J51+'財務諸表（入力）'!J52+'財務諸表（入力）'!J84)="","",(('財務諸表（入力）'!J51+'財務諸表（入力）'!J52+'財務諸表（入力）'!J84)/('財務諸表（入力）'!$E$51+'財務諸表（入力）'!$E$52+'財務諸表（入力）'!$E$84)))</f>
        <v>#DIV/0!</v>
      </c>
      <c r="H39"/>
      <c r="I39"/>
    </row>
    <row r="40" spans="1:13" ht="15" customHeight="1" x14ac:dyDescent="0.2">
      <c r="A40" s="1702" t="s">
        <v>255</v>
      </c>
      <c r="B40" s="1554"/>
      <c r="C40" s="1554"/>
      <c r="D40" s="1554"/>
      <c r="E40" s="334" t="e">
        <f>IF('財務諸表（入力）'!E37="","",('財務諸表（入力）'!E37/'財務諸表（入力）'!$E$37))</f>
        <v>#DIV/0!</v>
      </c>
      <c r="F40" s="334" t="e">
        <f>IF('財務諸表（入力）'!G37="","",('財務諸表（入力）'!G37/'財務諸表（入力）'!$E$37))</f>
        <v>#DIV/0!</v>
      </c>
      <c r="G40" s="334" t="e">
        <f>IF('財務諸表（入力）'!J37="","",('財務諸表（入力）'!J37/'財務諸表（入力）'!$E$37))</f>
        <v>#DIV/0!</v>
      </c>
      <c r="H40"/>
      <c r="I40"/>
    </row>
    <row r="41" spans="1:13" ht="15" customHeight="1" x14ac:dyDescent="0.2">
      <c r="A41" s="1702" t="s">
        <v>256</v>
      </c>
      <c r="B41" s="1554"/>
      <c r="C41" s="1554"/>
      <c r="D41" s="1554"/>
      <c r="E41" s="334" t="e">
        <f>IF('財務諸表（入力）'!E47="","",('財務諸表（入力）'!E47/'財務諸表（入力）'!$E$47))</f>
        <v>#DIV/0!</v>
      </c>
      <c r="F41" s="334" t="e">
        <f>IF('財務諸表（入力）'!G47="","",('財務諸表（入力）'!G47/'財務諸表（入力）'!$E$47))</f>
        <v>#DIV/0!</v>
      </c>
      <c r="G41" s="334" t="e">
        <f>IF('財務諸表（入力）'!J47="","",('財務諸表（入力）'!J47/'財務諸表（入力）'!$E$47))</f>
        <v>#DIV/0!</v>
      </c>
      <c r="H41"/>
      <c r="I41"/>
    </row>
    <row r="42" spans="1:13" ht="15" customHeight="1" x14ac:dyDescent="0.2">
      <c r="A42" s="1702" t="s">
        <v>159</v>
      </c>
      <c r="B42" s="1554"/>
      <c r="C42" s="1554"/>
      <c r="D42" s="1554"/>
      <c r="E42" s="334" t="e">
        <f>IF(('財務諸表（入力）'!E53+'財務諸表（入力）'!E62+'財務諸表（入力）'!E63+'財務諸表（入力）'!E83)="","",('財務諸表（入力）'!E53+'財務諸表（入力）'!E62+'財務諸表（入力）'!E63+'財務諸表（入力）'!E83)/('財務諸表（入力）'!$E$53+'財務諸表（入力）'!$E$62+'財務諸表（入力）'!$E$63+'財務諸表（入力）'!$E$83))</f>
        <v>#DIV/0!</v>
      </c>
      <c r="F42" s="334" t="e">
        <f>IF(('財務諸表（入力）'!G53+'財務諸表（入力）'!G62+'財務諸表（入力）'!G63+'財務諸表（入力）'!G83)="","",('財務諸表（入力）'!G53+'財務諸表（入力）'!G62+'財務諸表（入力）'!G63+'財務諸表（入力）'!G83)/('財務諸表（入力）'!$E$53+'財務諸表（入力）'!$E$62+'財務諸表（入力）'!$E$63+'財務諸表（入力）'!$E$83))</f>
        <v>#DIV/0!</v>
      </c>
      <c r="G42" s="334" t="e">
        <f>IF(('財務諸表（入力）'!J53+'財務諸表（入力）'!J62+'財務諸表（入力）'!J63+'財務諸表（入力）'!J83)="","",('財務諸表（入力）'!J53+'財務諸表（入力）'!J62+'財務諸表（入力）'!J63+'財務諸表（入力）'!J83)/('財務諸表（入力）'!$E$53+'財務諸表（入力）'!$E$62+'財務諸表（入力）'!$E$63+'財務諸表（入力）'!$E$83))</f>
        <v>#DIV/0!</v>
      </c>
      <c r="H42"/>
      <c r="I42"/>
    </row>
    <row r="43" spans="1:13" ht="15" customHeight="1" x14ac:dyDescent="0.2">
      <c r="A43" s="1793" t="s">
        <v>165</v>
      </c>
      <c r="B43" s="1519"/>
      <c r="C43" s="1519"/>
      <c r="D43" s="1519"/>
      <c r="E43" s="335" t="e">
        <f>IF('財務諸表（入力）'!E79="","",('財務諸表（入力）'!E79/'財務諸表（入力）'!$E$79))</f>
        <v>#DIV/0!</v>
      </c>
      <c r="F43" s="335" t="e">
        <f>IF('財務諸表（入力）'!G79="","",('財務諸表（入力）'!G79/'財務諸表（入力）'!$E$79))</f>
        <v>#DIV/0!</v>
      </c>
      <c r="G43" s="335" t="e">
        <f>IF('財務諸表（入力）'!J79="","",('財務諸表（入力）'!J79/'財務諸表（入力）'!$E$79))</f>
        <v>#DIV/0!</v>
      </c>
      <c r="H43"/>
      <c r="I43"/>
    </row>
    <row r="44" spans="1:13" ht="15" customHeight="1" x14ac:dyDescent="0.2">
      <c r="A44" s="336" t="str">
        <f>CONCATENATE("（",E34,"の各科目の数値を１００とした場合の",F34,"及び",G34,"の推移）")</f>
        <v>（前々期の各科目の数値を１００とした場合の前期及び今期の推移）</v>
      </c>
      <c r="E44" s="103"/>
    </row>
    <row r="45" spans="1:13" ht="54" customHeight="1" x14ac:dyDescent="0.2">
      <c r="A45" s="1716"/>
      <c r="B45" s="1717"/>
      <c r="C45" s="1717"/>
      <c r="D45" s="1717"/>
      <c r="E45" s="1717"/>
      <c r="F45" s="1717"/>
      <c r="G45" s="1717"/>
      <c r="H45" s="1718"/>
    </row>
    <row r="46" spans="1:13" ht="18" customHeight="1" x14ac:dyDescent="0.2">
      <c r="A46" s="1719"/>
      <c r="B46" s="1720"/>
      <c r="C46" s="1720"/>
      <c r="D46" s="1720"/>
      <c r="E46" s="1720"/>
      <c r="F46" s="1720"/>
      <c r="G46" s="1720"/>
      <c r="H46" s="1721"/>
    </row>
    <row r="47" spans="1:13" ht="18" customHeight="1" x14ac:dyDescent="0.2">
      <c r="D47"/>
      <c r="E47"/>
      <c r="F47"/>
      <c r="G47"/>
      <c r="H47"/>
    </row>
    <row r="48" spans="1:13" ht="18" customHeight="1" thickBot="1" x14ac:dyDescent="0.25">
      <c r="F48" s="111"/>
    </row>
    <row r="49" spans="1:32" ht="24" customHeight="1" thickBot="1" x14ac:dyDescent="0.25">
      <c r="A49" s="1635" t="s">
        <v>282</v>
      </c>
      <c r="B49" s="1572"/>
      <c r="C49" s="1572"/>
      <c r="D49" s="1572"/>
      <c r="E49" s="1572"/>
      <c r="F49" s="1701"/>
      <c r="G49" s="322"/>
    </row>
    <row r="50" spans="1:32" ht="18" customHeight="1" x14ac:dyDescent="0.2">
      <c r="D50" s="98"/>
      <c r="E50" s="320"/>
      <c r="F50" s="321"/>
      <c r="G50" s="322"/>
    </row>
    <row r="51" spans="1:32" ht="18" customHeight="1" x14ac:dyDescent="0.2">
      <c r="A51" s="97" t="s">
        <v>280</v>
      </c>
      <c r="E51" s="320"/>
      <c r="F51" s="321"/>
      <c r="G51" s="322"/>
    </row>
    <row r="52" spans="1:32" ht="18" customHeight="1" x14ac:dyDescent="0.2">
      <c r="D52" s="4"/>
      <c r="E52" s="320"/>
      <c r="F52" s="321"/>
      <c r="G52" s="106" t="s">
        <v>216</v>
      </c>
      <c r="H52" s="102"/>
      <c r="I52" s="102"/>
      <c r="J52" s="1704" t="s">
        <v>239</v>
      </c>
      <c r="K52" s="1705"/>
    </row>
    <row r="53" spans="1:32" ht="18" customHeight="1" x14ac:dyDescent="0.2">
      <c r="A53" s="1776"/>
      <c r="B53" s="1776"/>
      <c r="C53" s="1776"/>
      <c r="D53" s="1776"/>
      <c r="E53" s="284" t="str">
        <f>'財務諸表（入力）'!$E$5</f>
        <v>前々期</v>
      </c>
      <c r="F53" s="284" t="str">
        <f>'財務諸表（入力）'!$G$5</f>
        <v>前期</v>
      </c>
      <c r="G53" s="285" t="str">
        <f>'財務諸表（入力）'!$J$5</f>
        <v>今期</v>
      </c>
      <c r="H53" s="1706" t="s">
        <v>3</v>
      </c>
      <c r="I53" s="1628"/>
      <c r="J53" s="286" t="str">
        <f>F53</f>
        <v>前期</v>
      </c>
      <c r="K53" s="201" t="str">
        <f>G53</f>
        <v>今期</v>
      </c>
      <c r="L53"/>
      <c r="AC53" s="4" t="s">
        <v>190</v>
      </c>
    </row>
    <row r="54" spans="1:32" ht="18" customHeight="1" x14ac:dyDescent="0.2">
      <c r="A54" s="1781" t="s">
        <v>244</v>
      </c>
      <c r="B54" s="1609"/>
      <c r="C54" s="1609"/>
      <c r="D54" s="1609"/>
      <c r="E54" s="337">
        <f>E6/12</f>
        <v>0</v>
      </c>
      <c r="F54" s="337" t="str">
        <f>IF(F6=0,"",F6/12)</f>
        <v/>
      </c>
      <c r="G54" s="337" t="str">
        <f>IF(G6=0,"",G6/12)</f>
        <v/>
      </c>
      <c r="H54" s="1709"/>
      <c r="I54" s="1628"/>
      <c r="J54" s="339" t="str">
        <f t="shared" ref="J54:K59" si="2">IF(F54="","",F54/E54)</f>
        <v/>
      </c>
      <c r="K54" s="339" t="str">
        <f t="shared" si="2"/>
        <v/>
      </c>
      <c r="L54"/>
      <c r="AD54" s="294" t="str">
        <f>'財務諸表（入力）'!$E$5</f>
        <v>前々期</v>
      </c>
      <c r="AE54" s="294" t="str">
        <f>'財務諸表（入力）'!$G$5</f>
        <v>前期</v>
      </c>
      <c r="AF54" s="295" t="str">
        <f>'財務諸表（入力）'!$J$5</f>
        <v>今期</v>
      </c>
    </row>
    <row r="55" spans="1:32" ht="18" customHeight="1" x14ac:dyDescent="0.2">
      <c r="A55" s="1782" t="s">
        <v>18</v>
      </c>
      <c r="B55" s="1556"/>
      <c r="C55" s="1556"/>
      <c r="D55" s="1556"/>
      <c r="E55" s="340" t="e">
        <f>('財務諸表（入力）'!E9+'財務諸表（入力）'!E8+'財務諸表（入力）'!E83+'財務諸表（入力）'!E84)/E54</f>
        <v>#DIV/0!</v>
      </c>
      <c r="F55" s="340" t="str">
        <f>IF(F6=0,"",('財務諸表（入力）'!G9+'財務諸表（入力）'!G8+'財務諸表（入力）'!G83+'財務諸表（入力）'!G84)/F54)</f>
        <v/>
      </c>
      <c r="G55" s="340" t="str">
        <f>IF(G6=0,"",('財務諸表（入力）'!J9+'財務諸表（入力）'!J8+'財務諸表（入力）'!J83+'財務諸表（入力）'!J84)/G54)</f>
        <v/>
      </c>
      <c r="H55" s="1710" t="s">
        <v>258</v>
      </c>
      <c r="I55" s="1605"/>
      <c r="J55" s="341" t="str">
        <f t="shared" si="2"/>
        <v/>
      </c>
      <c r="K55" s="341" t="str">
        <f t="shared" si="2"/>
        <v/>
      </c>
      <c r="L55"/>
      <c r="AC55" s="299" t="s">
        <v>191</v>
      </c>
      <c r="AD55" s="300">
        <f>SUMIF('財務諸表（入力）'!$C$97:$C$100,"F",'財務諸表（入力）'!$E$97:$E$100)</f>
        <v>0</v>
      </c>
      <c r="AE55" s="300">
        <f>SUMIF('財務諸表（入力）'!$C$97:$C$100,"F",'財務諸表（入力）'!$G$97:$G$100)</f>
        <v>0</v>
      </c>
      <c r="AF55" s="300">
        <f>SUMIF('財務諸表（入力）'!$C$97:$C$100,"F",'財務諸表（入力）'!$J$97:$J$100)</f>
        <v>0</v>
      </c>
    </row>
    <row r="56" spans="1:32" ht="18" customHeight="1" x14ac:dyDescent="0.2">
      <c r="A56" s="1702" t="s">
        <v>19</v>
      </c>
      <c r="B56" s="1554"/>
      <c r="C56" s="1554"/>
      <c r="D56" s="1554"/>
      <c r="E56" s="342" t="e">
        <f>'財務諸表（入力）'!E16/E54</f>
        <v>#DIV/0!</v>
      </c>
      <c r="F56" s="342" t="str">
        <f>IF(F6=0,"",'財務諸表（入力）'!G16/F54)</f>
        <v/>
      </c>
      <c r="G56" s="342" t="str">
        <f>IF(G6=0,"",'財務諸表（入力）'!J16/G54)</f>
        <v/>
      </c>
      <c r="H56" s="1715" t="s">
        <v>259</v>
      </c>
      <c r="I56" s="1662"/>
      <c r="J56" s="343" t="str">
        <f t="shared" si="2"/>
        <v/>
      </c>
      <c r="K56" s="343" t="str">
        <f t="shared" si="2"/>
        <v/>
      </c>
      <c r="L56"/>
      <c r="AC56" s="299" t="s">
        <v>193</v>
      </c>
      <c r="AD56" s="300">
        <f>SUMIF('財務諸表（入力）'!$C$102:$C$116,"F",'財務諸表（入力）'!$E$102:$E$116)</f>
        <v>0</v>
      </c>
      <c r="AE56" s="300">
        <f>SUMIF('財務諸表（入力）'!$C$102:$C$116,"F",'財務諸表（入力）'!$G$102:$G$116)</f>
        <v>0</v>
      </c>
      <c r="AF56" s="300">
        <f>SUMIF('財務諸表（入力）'!$C$102:$C$116,"F",'財務諸表（入力）'!$J$102:$J$116)</f>
        <v>0</v>
      </c>
    </row>
    <row r="57" spans="1:32" ht="18" customHeight="1" thickBot="1" x14ac:dyDescent="0.25">
      <c r="A57" s="1777" t="s">
        <v>21</v>
      </c>
      <c r="B57" s="1611"/>
      <c r="C57" s="1611"/>
      <c r="D57" s="1611"/>
      <c r="E57" s="344" t="e">
        <f>('財務諸表（入力）'!E51+'財務諸表（入力）'!E52+'財務諸表（入力）'!E84)/E54</f>
        <v>#DIV/0!</v>
      </c>
      <c r="F57" s="344" t="str">
        <f>IF(F6=0,"",('財務諸表（入力）'!G51+'財務諸表（入力）'!G52+'財務諸表（入力）'!G84)/F54)</f>
        <v/>
      </c>
      <c r="G57" s="344" t="str">
        <f>IF(G6=0,"",('財務諸表（入力）'!J51+'財務諸表（入力）'!J52+'財務諸表（入力）'!J84)/G54)</f>
        <v/>
      </c>
      <c r="H57" s="1791" t="s">
        <v>260</v>
      </c>
      <c r="I57" s="1646"/>
      <c r="J57" s="345" t="str">
        <f t="shared" si="2"/>
        <v/>
      </c>
      <c r="K57" s="345" t="str">
        <f t="shared" si="2"/>
        <v/>
      </c>
      <c r="L57"/>
      <c r="AC57" s="299" t="s">
        <v>181</v>
      </c>
      <c r="AD57" s="300">
        <f>SUMIF('財務諸表（入力）'!$C$138:$C$155,"F",'財務諸表（入力）'!$E$138:$E$155)</f>
        <v>0</v>
      </c>
      <c r="AE57" s="300">
        <f>SUMIF('財務諸表（入力）'!$C$138:$C$155,"F",'財務諸表（入力）'!$G$138:$G$155)</f>
        <v>0</v>
      </c>
      <c r="AF57" s="300">
        <f>SUMIF('財務諸表（入力）'!$C$138:$C$155,"F",'財務諸表（入力）'!$J$138:$J$155)</f>
        <v>0</v>
      </c>
    </row>
    <row r="58" spans="1:32" ht="18" customHeight="1" thickTop="1" x14ac:dyDescent="0.2">
      <c r="A58" s="1775" t="s">
        <v>243</v>
      </c>
      <c r="B58" s="1610"/>
      <c r="C58" s="1610"/>
      <c r="D58" s="1610"/>
      <c r="E58" s="346" t="e">
        <f>E55+E56-E57</f>
        <v>#DIV/0!</v>
      </c>
      <c r="F58" s="346" t="str">
        <f>IF(F6=0,"",F55+F56-F57)</f>
        <v/>
      </c>
      <c r="G58" s="346" t="str">
        <f>IF(G6=0,"",G55+G56-G57)</f>
        <v/>
      </c>
      <c r="H58" s="1792" t="s">
        <v>261</v>
      </c>
      <c r="I58" s="1713"/>
      <c r="J58" s="347" t="str">
        <f t="shared" si="2"/>
        <v/>
      </c>
      <c r="K58" s="347" t="str">
        <f t="shared" si="2"/>
        <v/>
      </c>
      <c r="L58"/>
      <c r="AC58" s="299" t="s">
        <v>182</v>
      </c>
      <c r="AD58" s="300">
        <f>+'財務諸表（入力）'!E165</f>
        <v>0</v>
      </c>
      <c r="AE58" s="300">
        <f>+'財務諸表（入力）'!G165</f>
        <v>0</v>
      </c>
      <c r="AF58" s="300">
        <f>+'財務諸表（入力）'!J165</f>
        <v>0</v>
      </c>
    </row>
    <row r="59" spans="1:32" ht="18" customHeight="1" x14ac:dyDescent="0.2">
      <c r="A59" s="1778" t="s">
        <v>22</v>
      </c>
      <c r="B59" s="1554"/>
      <c r="C59" s="1554"/>
      <c r="D59" s="1554"/>
      <c r="E59" s="234" t="e">
        <f>E54*E58</f>
        <v>#DIV/0!</v>
      </c>
      <c r="F59" s="234" t="str">
        <f>IF(F6=0,"",F54*F58)</f>
        <v/>
      </c>
      <c r="G59" s="234" t="str">
        <f>IF(G6=0,"",G54*G58)</f>
        <v/>
      </c>
      <c r="H59" s="1715" t="s">
        <v>245</v>
      </c>
      <c r="I59" s="1662"/>
      <c r="J59" s="343" t="str">
        <f t="shared" si="2"/>
        <v/>
      </c>
      <c r="K59" s="343" t="str">
        <f t="shared" si="2"/>
        <v/>
      </c>
      <c r="L59"/>
      <c r="AC59" s="299" t="s">
        <v>183</v>
      </c>
      <c r="AD59" s="300">
        <f>'財務諸表（入力）'!E162</f>
        <v>0</v>
      </c>
      <c r="AE59" s="300">
        <f>'財務諸表（入力）'!G162</f>
        <v>0</v>
      </c>
      <c r="AF59" s="300">
        <f>'財務諸表（入力）'!J162</f>
        <v>0</v>
      </c>
    </row>
    <row r="60" spans="1:32" ht="18" customHeight="1" x14ac:dyDescent="0.2">
      <c r="A60" s="1631" t="s">
        <v>281</v>
      </c>
      <c r="B60" s="1519"/>
      <c r="C60" s="1519"/>
      <c r="D60" s="1519"/>
      <c r="E60" s="348" t="s">
        <v>231</v>
      </c>
      <c r="F60" s="194" t="str">
        <f>IF(F6=0,"",F59-E59)</f>
        <v/>
      </c>
      <c r="G60" s="349" t="str">
        <f>IF(G6=0,"",G59-F59)</f>
        <v/>
      </c>
      <c r="H60" s="1798"/>
      <c r="I60" s="1625"/>
      <c r="J60" s="351" t="s">
        <v>234</v>
      </c>
      <c r="K60" s="351" t="s">
        <v>234</v>
      </c>
      <c r="L60"/>
      <c r="AC60" s="299" t="s">
        <v>184</v>
      </c>
      <c r="AD60" s="300">
        <f>AD55+AD57+AD58-AD59</f>
        <v>0</v>
      </c>
      <c r="AE60" s="300">
        <f>AE55+AE57+AE58-AE59</f>
        <v>0</v>
      </c>
      <c r="AF60" s="300">
        <f>AF55+AF57+AF58-AF59</f>
        <v>0</v>
      </c>
    </row>
    <row r="61" spans="1:32" ht="18" customHeight="1" x14ac:dyDescent="0.2">
      <c r="A61" s="1708" t="s">
        <v>247</v>
      </c>
      <c r="B61" s="1523"/>
      <c r="C61" s="1523"/>
      <c r="D61" s="1523"/>
      <c r="E61" s="352" t="e">
        <f>('財務諸表（入力）'!E83+'財務諸表（入力）'!E84)/'財務諸表（入力）'!E8</f>
        <v>#DIV/0!</v>
      </c>
      <c r="F61" s="352" t="e">
        <f>('財務諸表（入力）'!G83+'財務諸表（入力）'!G84)/'財務諸表（入力）'!G8</f>
        <v>#DIV/0!</v>
      </c>
      <c r="G61" s="352" t="e">
        <f>('財務諸表（入力）'!J83+'財務諸表（入力）'!J84)/'財務諸表（入力）'!J8</f>
        <v>#DIV/0!</v>
      </c>
      <c r="H61" s="100"/>
      <c r="I61" s="100"/>
      <c r="J61" s="281" t="e">
        <f>IF(E61*F61=0,"",F61/E61)</f>
        <v>#DIV/0!</v>
      </c>
      <c r="K61" s="281" t="e">
        <f>IF(F61*G61=0,"",G61/F61)</f>
        <v>#DIV/0!</v>
      </c>
      <c r="L61" s="100"/>
    </row>
    <row r="62" spans="1:32" ht="54" customHeight="1" x14ac:dyDescent="0.2">
      <c r="A62" s="1796"/>
      <c r="B62" s="1797"/>
      <c r="C62" s="1797"/>
      <c r="D62" s="1797"/>
      <c r="E62" s="1797"/>
      <c r="F62" s="1797"/>
      <c r="G62" s="1797"/>
      <c r="H62" s="1797"/>
      <c r="I62" s="1797"/>
      <c r="J62" s="1797"/>
      <c r="K62" s="1797"/>
      <c r="L62" s="100"/>
    </row>
    <row r="63" spans="1:32" ht="18" customHeight="1" x14ac:dyDescent="0.2">
      <c r="A63" s="1797"/>
      <c r="B63" s="1797"/>
      <c r="C63" s="1797"/>
      <c r="D63" s="1797"/>
      <c r="E63" s="1797"/>
      <c r="F63" s="1797"/>
      <c r="G63" s="1797"/>
      <c r="H63" s="1797"/>
      <c r="I63" s="1797"/>
      <c r="J63" s="1797"/>
      <c r="K63" s="1797"/>
      <c r="L63" s="100"/>
    </row>
    <row r="64" spans="1:32" ht="18" customHeight="1" x14ac:dyDescent="0.2">
      <c r="D64" s="353"/>
      <c r="G64" s="283"/>
      <c r="H64" s="100"/>
      <c r="I64" s="100"/>
      <c r="J64" s="281"/>
      <c r="L64" s="100"/>
    </row>
    <row r="65" spans="1:29" ht="14.4" x14ac:dyDescent="0.2">
      <c r="A65" s="97" t="s">
        <v>283</v>
      </c>
      <c r="J65" s="354"/>
      <c r="M65" s="355"/>
    </row>
    <row r="66" spans="1:29" s="173" customFormat="1" ht="17.25" customHeight="1" x14ac:dyDescent="0.2">
      <c r="D66" s="174"/>
      <c r="E66" s="320"/>
      <c r="F66" s="174"/>
      <c r="G66" s="174"/>
      <c r="H66" s="356"/>
      <c r="I66" s="1779" t="str">
        <f>CONCATENATE("※前期基準＝回転期間が前期同水準の場合の",G68,"の見込額")</f>
        <v>※前期基準＝回転期間が前期同水準の場合の前期の見込額</v>
      </c>
      <c r="J66" s="1523"/>
      <c r="K66" s="1523"/>
      <c r="L66" s="1523"/>
      <c r="M66" s="1523"/>
      <c r="N66" s="358"/>
      <c r="O66" s="358"/>
    </row>
    <row r="67" spans="1:29" s="173" customFormat="1" ht="17.25" customHeight="1" x14ac:dyDescent="0.2">
      <c r="A67" s="97" t="str">
        <f>CONCATENATE("■　",E68,"→",G68,"")</f>
        <v>■　前々期→前期</v>
      </c>
      <c r="E67" s="174"/>
      <c r="F67" s="174"/>
      <c r="G67" s="174"/>
      <c r="H67" s="356"/>
      <c r="J67"/>
      <c r="K67"/>
      <c r="L67"/>
      <c r="M67" s="106" t="s">
        <v>216</v>
      </c>
      <c r="O67" s="358"/>
    </row>
    <row r="68" spans="1:29" s="173" customFormat="1" ht="21" customHeight="1" x14ac:dyDescent="0.2">
      <c r="A68" s="1780"/>
      <c r="B68" s="1776"/>
      <c r="C68" s="1776"/>
      <c r="D68" s="1776"/>
      <c r="E68" s="1799" t="str">
        <f>F104</f>
        <v>前々期</v>
      </c>
      <c r="F68" s="1800"/>
      <c r="G68" s="1801" t="str">
        <f>G104</f>
        <v>前期</v>
      </c>
      <c r="H68" s="1800"/>
      <c r="I68" s="1676" t="s">
        <v>284</v>
      </c>
      <c r="J68" s="1731" t="s">
        <v>273</v>
      </c>
      <c r="K68" s="1732"/>
      <c r="L68" s="1735" t="s">
        <v>278</v>
      </c>
      <c r="M68" s="1737" t="s">
        <v>279</v>
      </c>
      <c r="O68" s="4"/>
      <c r="AB68" s="173" t="str">
        <f>CONCATENATE("",$E$68,"→",$G$68,"")</f>
        <v>前々期→前期</v>
      </c>
      <c r="AC68" s="173" t="str">
        <f>CONCATENATE("",$E$84,"→",$G$84,"")</f>
        <v>前期→今期</v>
      </c>
    </row>
    <row r="69" spans="1:29" s="173" customFormat="1" ht="21" customHeight="1" x14ac:dyDescent="0.2">
      <c r="A69" s="1776"/>
      <c r="B69" s="1776"/>
      <c r="C69" s="1776"/>
      <c r="D69" s="1776"/>
      <c r="E69" s="359" t="s">
        <v>274</v>
      </c>
      <c r="F69" s="359" t="s">
        <v>263</v>
      </c>
      <c r="G69" s="360" t="s">
        <v>275</v>
      </c>
      <c r="H69" s="359" t="s">
        <v>263</v>
      </c>
      <c r="I69" s="1677"/>
      <c r="J69" s="1733"/>
      <c r="K69" s="1734"/>
      <c r="L69" s="1736"/>
      <c r="M69" s="1738"/>
      <c r="O69" s="4"/>
      <c r="V69" s="4"/>
      <c r="W69" s="4"/>
      <c r="X69" s="4"/>
      <c r="Y69" s="4"/>
      <c r="Z69" s="4"/>
      <c r="AA69" s="4" t="s">
        <v>267</v>
      </c>
      <c r="AB69" s="361">
        <f>I81</f>
        <v>0</v>
      </c>
      <c r="AC69" s="362">
        <f>I97</f>
        <v>0</v>
      </c>
    </row>
    <row r="70" spans="1:29" s="173" customFormat="1" ht="15" customHeight="1" x14ac:dyDescent="0.2">
      <c r="A70" s="1781" t="s">
        <v>264</v>
      </c>
      <c r="B70" s="1609"/>
      <c r="C70" s="1609"/>
      <c r="D70" s="1609"/>
      <c r="E70" s="363">
        <f>E54</f>
        <v>0</v>
      </c>
      <c r="F70" s="363" t="s">
        <v>231</v>
      </c>
      <c r="G70" s="364" t="str">
        <f>F54</f>
        <v/>
      </c>
      <c r="H70" s="363" t="s">
        <v>231</v>
      </c>
      <c r="I70" s="365" t="e">
        <f t="shared" ref="I70:I81" si="3">G70-E70</f>
        <v>#VALUE!</v>
      </c>
      <c r="J70" s="1678" t="s">
        <v>231</v>
      </c>
      <c r="K70" s="1679"/>
      <c r="L70" s="366" t="s">
        <v>231</v>
      </c>
      <c r="M70" s="366" t="s">
        <v>231</v>
      </c>
      <c r="O70" s="4"/>
      <c r="V70" s="4"/>
      <c r="W70" s="4"/>
      <c r="X70" s="4"/>
      <c r="Y70" s="4"/>
      <c r="Z70" s="4"/>
      <c r="AA70" s="4" t="s">
        <v>265</v>
      </c>
      <c r="AB70" s="361" t="e">
        <f>L81</f>
        <v>#VALUE!</v>
      </c>
      <c r="AC70" s="362" t="e">
        <f>L97</f>
        <v>#VALUE!</v>
      </c>
    </row>
    <row r="71" spans="1:29" s="173" customFormat="1" ht="15" customHeight="1" x14ac:dyDescent="0.2">
      <c r="A71" s="1782" t="s">
        <v>14</v>
      </c>
      <c r="B71" s="1556"/>
      <c r="C71" s="1556"/>
      <c r="D71" s="1556"/>
      <c r="E71" s="116">
        <f>'財務諸表（入力）'!E8+'財務諸表（入力）'!E83+'財務諸表（入力）'!E84</f>
        <v>0</v>
      </c>
      <c r="F71" s="367" t="e">
        <f>E71/E54</f>
        <v>#DIV/0!</v>
      </c>
      <c r="G71" s="368">
        <f>'財務諸表（入力）'!G8+'財務諸表（入力）'!G83+'財務諸表（入力）'!G84</f>
        <v>0</v>
      </c>
      <c r="H71" s="367" t="e">
        <f t="shared" ref="H71:H76" si="4">IF(F$54=0,"",G71/F$54)</f>
        <v>#VALUE!</v>
      </c>
      <c r="I71" s="257">
        <f t="shared" si="3"/>
        <v>0</v>
      </c>
      <c r="J71" s="1680" t="e">
        <f t="shared" ref="J71:J76" si="5">G$70*F71</f>
        <v>#VALUE!</v>
      </c>
      <c r="K71" s="1681"/>
      <c r="L71" s="116" t="e">
        <f t="shared" ref="L71:L76" si="6">J71-E71</f>
        <v>#VALUE!</v>
      </c>
      <c r="M71" s="116" t="e">
        <f t="shared" ref="M71:M76" si="7">G71-J71</f>
        <v>#VALUE!</v>
      </c>
      <c r="O71" s="4"/>
      <c r="V71" s="4"/>
      <c r="W71" s="4"/>
      <c r="X71" s="4"/>
      <c r="Y71" s="4"/>
      <c r="Z71" s="4"/>
      <c r="AA71" s="4" t="s">
        <v>266</v>
      </c>
      <c r="AB71" s="361" t="e">
        <f>M81</f>
        <v>#VALUE!</v>
      </c>
      <c r="AC71" s="362" t="e">
        <f>M97</f>
        <v>#VALUE!</v>
      </c>
    </row>
    <row r="72" spans="1:29" s="173" customFormat="1" ht="15" customHeight="1" x14ac:dyDescent="0.2">
      <c r="A72" s="1702" t="s">
        <v>12</v>
      </c>
      <c r="B72" s="1554"/>
      <c r="C72" s="1554"/>
      <c r="D72" s="1554"/>
      <c r="E72" s="125">
        <f>'財務諸表（入力）'!E9</f>
        <v>0</v>
      </c>
      <c r="F72" s="369" t="e">
        <f>E72/E54</f>
        <v>#DIV/0!</v>
      </c>
      <c r="G72" s="370">
        <f>'財務諸表（入力）'!G9</f>
        <v>0</v>
      </c>
      <c r="H72" s="369" t="e">
        <f t="shared" si="4"/>
        <v>#VALUE!</v>
      </c>
      <c r="I72" s="224">
        <f t="shared" si="3"/>
        <v>0</v>
      </c>
      <c r="J72" s="1682" t="e">
        <f t="shared" si="5"/>
        <v>#VALUE!</v>
      </c>
      <c r="K72" s="1683"/>
      <c r="L72" s="125" t="e">
        <f t="shared" si="6"/>
        <v>#VALUE!</v>
      </c>
      <c r="M72" s="125" t="e">
        <f t="shared" si="7"/>
        <v>#VALUE!</v>
      </c>
      <c r="O72" s="4"/>
    </row>
    <row r="73" spans="1:29" s="173" customFormat="1" ht="15" customHeight="1" x14ac:dyDescent="0.2">
      <c r="A73" s="1702" t="s">
        <v>16</v>
      </c>
      <c r="B73" s="1554"/>
      <c r="C73" s="1554"/>
      <c r="D73" s="1554"/>
      <c r="E73" s="125">
        <f>'財務諸表（入力）'!E12</f>
        <v>0</v>
      </c>
      <c r="F73" s="369" t="e">
        <f>E73/E54</f>
        <v>#DIV/0!</v>
      </c>
      <c r="G73" s="370">
        <f>'財務諸表（入力）'!G12</f>
        <v>0</v>
      </c>
      <c r="H73" s="369" t="e">
        <f t="shared" si="4"/>
        <v>#VALUE!</v>
      </c>
      <c r="I73" s="224">
        <f t="shared" si="3"/>
        <v>0</v>
      </c>
      <c r="J73" s="1682" t="e">
        <f t="shared" si="5"/>
        <v>#VALUE!</v>
      </c>
      <c r="K73" s="1683"/>
      <c r="L73" s="125" t="e">
        <f t="shared" si="6"/>
        <v>#VALUE!</v>
      </c>
      <c r="M73" s="125" t="e">
        <f t="shared" si="7"/>
        <v>#VALUE!</v>
      </c>
      <c r="O73" s="4"/>
    </row>
    <row r="74" spans="1:29" s="173" customFormat="1" ht="15" customHeight="1" x14ac:dyDescent="0.2">
      <c r="A74" s="1702" t="s">
        <v>17</v>
      </c>
      <c r="B74" s="1554"/>
      <c r="C74" s="1554"/>
      <c r="D74" s="1554"/>
      <c r="E74" s="125">
        <f>'財務諸表（入力）'!E13</f>
        <v>0</v>
      </c>
      <c r="F74" s="369" t="e">
        <f>E74/E54</f>
        <v>#DIV/0!</v>
      </c>
      <c r="G74" s="370">
        <f>'財務諸表（入力）'!G13</f>
        <v>0</v>
      </c>
      <c r="H74" s="369" t="e">
        <f t="shared" si="4"/>
        <v>#VALUE!</v>
      </c>
      <c r="I74" s="224">
        <f t="shared" si="3"/>
        <v>0</v>
      </c>
      <c r="J74" s="1682" t="e">
        <f t="shared" si="5"/>
        <v>#VALUE!</v>
      </c>
      <c r="K74" s="1725"/>
      <c r="L74" s="125" t="e">
        <f t="shared" si="6"/>
        <v>#VALUE!</v>
      </c>
      <c r="M74" s="125" t="e">
        <f t="shared" si="7"/>
        <v>#VALUE!</v>
      </c>
      <c r="O74" s="4"/>
      <c r="AB74" s="173" t="str">
        <f>CONCATENATE("",$E$68,"→",$G$68,"")</f>
        <v>前々期→前期</v>
      </c>
      <c r="AC74" s="173" t="str">
        <f>CONCATENATE("",$E$84,"→",$G$84,"")</f>
        <v>前期→今期</v>
      </c>
    </row>
    <row r="75" spans="1:29" s="173" customFormat="1" ht="15" customHeight="1" x14ac:dyDescent="0.2">
      <c r="A75" s="1702" t="s">
        <v>58</v>
      </c>
      <c r="B75" s="1554"/>
      <c r="C75" s="1554"/>
      <c r="D75" s="1554"/>
      <c r="E75" s="125">
        <f>'財務諸表（入力）'!E14</f>
        <v>0</v>
      </c>
      <c r="F75" s="369" t="e">
        <f>E75/E54</f>
        <v>#DIV/0!</v>
      </c>
      <c r="G75" s="370">
        <f>'財務諸表（入力）'!G14</f>
        <v>0</v>
      </c>
      <c r="H75" s="369" t="e">
        <f t="shared" si="4"/>
        <v>#VALUE!</v>
      </c>
      <c r="I75" s="224">
        <f t="shared" si="3"/>
        <v>0</v>
      </c>
      <c r="J75" s="1682" t="e">
        <f t="shared" si="5"/>
        <v>#VALUE!</v>
      </c>
      <c r="K75" s="1725"/>
      <c r="L75" s="125" t="e">
        <f t="shared" si="6"/>
        <v>#VALUE!</v>
      </c>
      <c r="M75" s="125" t="e">
        <f t="shared" si="7"/>
        <v>#VALUE!</v>
      </c>
      <c r="O75" s="4"/>
      <c r="V75" s="4"/>
      <c r="W75" s="4"/>
      <c r="X75" s="4"/>
      <c r="Y75" s="4"/>
      <c r="Z75" s="4"/>
      <c r="AA75" s="4" t="s">
        <v>268</v>
      </c>
      <c r="AB75" s="361" t="e">
        <f>AB71</f>
        <v>#VALUE!</v>
      </c>
      <c r="AC75" s="362" t="e">
        <f>AC71</f>
        <v>#VALUE!</v>
      </c>
    </row>
    <row r="76" spans="1:29" s="173" customFormat="1" ht="15" customHeight="1" x14ac:dyDescent="0.2">
      <c r="A76" s="1473" t="s">
        <v>257</v>
      </c>
      <c r="B76" s="1519"/>
      <c r="C76" s="1519"/>
      <c r="D76" s="1519"/>
      <c r="E76" s="297">
        <f>'財務諸表（入力）'!E15</f>
        <v>0</v>
      </c>
      <c r="F76" s="371" t="e">
        <f>E76/E54</f>
        <v>#DIV/0!</v>
      </c>
      <c r="G76" s="372">
        <f>'財務諸表（入力）'!G15</f>
        <v>0</v>
      </c>
      <c r="H76" s="371" t="e">
        <f t="shared" si="4"/>
        <v>#VALUE!</v>
      </c>
      <c r="I76" s="373">
        <f t="shared" si="3"/>
        <v>0</v>
      </c>
      <c r="J76" s="1696" t="e">
        <f t="shared" si="5"/>
        <v>#VALUE!</v>
      </c>
      <c r="K76" s="1697"/>
      <c r="L76" s="267" t="e">
        <f t="shared" si="6"/>
        <v>#VALUE!</v>
      </c>
      <c r="M76" s="267" t="e">
        <f t="shared" si="7"/>
        <v>#VALUE!</v>
      </c>
      <c r="O76" s="4"/>
      <c r="V76" s="4"/>
      <c r="W76" s="4"/>
      <c r="X76" s="4"/>
      <c r="Y76" s="4"/>
      <c r="Z76" s="4"/>
      <c r="AA76" s="4" t="s">
        <v>269</v>
      </c>
      <c r="AB76" s="361" t="e">
        <f>M71+M72</f>
        <v>#VALUE!</v>
      </c>
      <c r="AC76" s="361" t="e">
        <f>M87+M88</f>
        <v>#VALUE!</v>
      </c>
    </row>
    <row r="77" spans="1:29" s="173" customFormat="1" ht="15" customHeight="1" x14ac:dyDescent="0.2">
      <c r="A77" s="1703" t="s">
        <v>36</v>
      </c>
      <c r="B77" s="1609"/>
      <c r="C77" s="1609"/>
      <c r="D77" s="1609"/>
      <c r="E77" s="131">
        <f>SUM(E71:E76)</f>
        <v>0</v>
      </c>
      <c r="F77" s="374" t="e">
        <f>SUM(F71:F76)</f>
        <v>#DIV/0!</v>
      </c>
      <c r="G77" s="131">
        <f>SUM(G71:G76)</f>
        <v>0</v>
      </c>
      <c r="H77" s="374" t="e">
        <f>SUM(H71:H76)</f>
        <v>#VALUE!</v>
      </c>
      <c r="I77" s="375">
        <f t="shared" si="3"/>
        <v>0</v>
      </c>
      <c r="J77" s="1672" t="e">
        <f>SUM(J71:J76)</f>
        <v>#VALUE!</v>
      </c>
      <c r="K77" s="1730"/>
      <c r="L77" s="376" t="e">
        <f>SUM(L71:L76)</f>
        <v>#VALUE!</v>
      </c>
      <c r="M77" s="376" t="e">
        <f>SUM(M71:M76)</f>
        <v>#VALUE!</v>
      </c>
      <c r="O77" s="4"/>
      <c r="V77" s="4"/>
      <c r="W77" s="4"/>
      <c r="X77" s="4"/>
      <c r="Y77" s="4"/>
      <c r="Z77" s="4"/>
      <c r="AA77" s="4" t="s">
        <v>270</v>
      </c>
      <c r="AB77" s="361" t="e">
        <f>(M78+M79)*-1</f>
        <v>#VALUE!</v>
      </c>
      <c r="AC77" s="361" t="e">
        <f>(M94+M95)*-1</f>
        <v>#VALUE!</v>
      </c>
    </row>
    <row r="78" spans="1:29" s="173" customFormat="1" ht="15" customHeight="1" x14ac:dyDescent="0.2">
      <c r="A78" s="1782" t="s">
        <v>27</v>
      </c>
      <c r="B78" s="1556"/>
      <c r="C78" s="1556"/>
      <c r="D78" s="1556"/>
      <c r="E78" s="145">
        <f>'財務諸表（入力）'!E51</f>
        <v>0</v>
      </c>
      <c r="F78" s="377" t="e">
        <f>E78/E54</f>
        <v>#DIV/0!</v>
      </c>
      <c r="G78" s="378">
        <f>'財務諸表（入力）'!G51</f>
        <v>0</v>
      </c>
      <c r="H78" s="377" t="e">
        <f>IF(F$54=0,"",G78/F$54)</f>
        <v>#VALUE!</v>
      </c>
      <c r="I78" s="379">
        <f t="shared" si="3"/>
        <v>0</v>
      </c>
      <c r="J78" s="1680" t="e">
        <f>G$70*F78</f>
        <v>#VALUE!</v>
      </c>
      <c r="K78" s="1726"/>
      <c r="L78" s="116" t="e">
        <f>J78-E78</f>
        <v>#VALUE!</v>
      </c>
      <c r="M78" s="116" t="e">
        <f>G78-J78</f>
        <v>#VALUE!</v>
      </c>
      <c r="V78" s="4"/>
      <c r="W78" s="4"/>
      <c r="X78" s="4"/>
      <c r="Y78" s="4"/>
      <c r="Z78" s="4"/>
      <c r="AA78" s="4" t="s">
        <v>271</v>
      </c>
      <c r="AB78" s="361" t="e">
        <f>M73+M74+M75+M76</f>
        <v>#VALUE!</v>
      </c>
      <c r="AC78" s="361" t="e">
        <f>M89+M90+M91+M92</f>
        <v>#VALUE!</v>
      </c>
    </row>
    <row r="79" spans="1:29" s="173" customFormat="1" ht="15" customHeight="1" x14ac:dyDescent="0.2">
      <c r="A79" s="1793" t="s">
        <v>28</v>
      </c>
      <c r="B79" s="1519"/>
      <c r="C79" s="1519"/>
      <c r="D79" s="1519"/>
      <c r="E79" s="125">
        <f>'財務諸表（入力）'!E52+'財務諸表（入力）'!E84</f>
        <v>0</v>
      </c>
      <c r="F79" s="369" t="e">
        <f>E79/E54</f>
        <v>#DIV/0!</v>
      </c>
      <c r="G79" s="370">
        <f>'財務諸表（入力）'!G52+'財務諸表（入力）'!G84</f>
        <v>0</v>
      </c>
      <c r="H79" s="369" t="e">
        <f>IF(F$54=0,"",G79/F$54)</f>
        <v>#VALUE!</v>
      </c>
      <c r="I79" s="224">
        <f t="shared" si="3"/>
        <v>0</v>
      </c>
      <c r="J79" s="1696" t="e">
        <f>G$70*F79</f>
        <v>#VALUE!</v>
      </c>
      <c r="K79" s="1697"/>
      <c r="L79" s="267" t="e">
        <f>J79-E79</f>
        <v>#VALUE!</v>
      </c>
      <c r="M79" s="267" t="e">
        <f>G79-J79</f>
        <v>#VALUE!</v>
      </c>
    </row>
    <row r="80" spans="1:29" s="173" customFormat="1" ht="15" customHeight="1" thickBot="1" x14ac:dyDescent="0.25">
      <c r="A80" s="1794" t="s">
        <v>38</v>
      </c>
      <c r="B80" s="1795"/>
      <c r="C80" s="1795"/>
      <c r="D80" s="1795"/>
      <c r="E80" s="331">
        <f>SUM(E78:E79)</f>
        <v>0</v>
      </c>
      <c r="F80" s="380" t="e">
        <f>SUM(F78:F79)</f>
        <v>#DIV/0!</v>
      </c>
      <c r="G80" s="331">
        <f>SUM(G78:G79)</f>
        <v>0</v>
      </c>
      <c r="H80" s="380" t="e">
        <f>SUM(H78:H79)</f>
        <v>#VALUE!</v>
      </c>
      <c r="I80" s="381">
        <f t="shared" si="3"/>
        <v>0</v>
      </c>
      <c r="J80" s="1672" t="e">
        <f>SUM(J78:J79)</f>
        <v>#VALUE!</v>
      </c>
      <c r="K80" s="1730"/>
      <c r="L80" s="137" t="e">
        <f>SUM(L78:L79)</f>
        <v>#VALUE!</v>
      </c>
      <c r="M80" s="137" t="e">
        <f>SUM(M78:M79)</f>
        <v>#VALUE!</v>
      </c>
    </row>
    <row r="81" spans="1:18" s="173" customFormat="1" ht="18" customHeight="1" thickTop="1" thickBot="1" x14ac:dyDescent="0.25">
      <c r="A81" s="1749" t="s">
        <v>262</v>
      </c>
      <c r="B81" s="1750"/>
      <c r="C81" s="1750"/>
      <c r="D81" s="1750"/>
      <c r="E81" s="382">
        <f>E77-E80</f>
        <v>0</v>
      </c>
      <c r="F81" s="383" t="e">
        <f>F77-F80</f>
        <v>#DIV/0!</v>
      </c>
      <c r="G81" s="382">
        <f>G77-G80</f>
        <v>0</v>
      </c>
      <c r="H81" s="384" t="e">
        <f>H77-H80</f>
        <v>#VALUE!</v>
      </c>
      <c r="I81" s="385">
        <f t="shared" si="3"/>
        <v>0</v>
      </c>
      <c r="J81" s="1672" t="e">
        <f>J77-J80</f>
        <v>#VALUE!</v>
      </c>
      <c r="K81" s="1673"/>
      <c r="L81" s="386" t="e">
        <f>L77-L80</f>
        <v>#VALUE!</v>
      </c>
      <c r="M81" s="387" t="e">
        <f>M77-M80</f>
        <v>#VALUE!</v>
      </c>
    </row>
    <row r="82" spans="1:18" s="173" customFormat="1" ht="15" customHeight="1" x14ac:dyDescent="0.2">
      <c r="D82" s="174"/>
      <c r="E82" s="174"/>
      <c r="F82" s="174"/>
      <c r="G82" s="174"/>
      <c r="H82" s="356"/>
      <c r="I82" s="356"/>
      <c r="N82" s="358"/>
      <c r="O82" s="388"/>
    </row>
    <row r="83" spans="1:18" s="173" customFormat="1" ht="15" customHeight="1" x14ac:dyDescent="0.2">
      <c r="A83" s="97" t="str">
        <f>CONCATENATE("■　",E84,"→",G84,"")</f>
        <v>■　前期→今期</v>
      </c>
      <c r="F83" s="174"/>
      <c r="G83" s="174"/>
      <c r="H83" s="356"/>
      <c r="I83" s="356"/>
      <c r="J83"/>
      <c r="K83"/>
      <c r="L83"/>
      <c r="M83"/>
      <c r="O83" s="358"/>
    </row>
    <row r="84" spans="1:18" s="173" customFormat="1" ht="21" customHeight="1" x14ac:dyDescent="0.2">
      <c r="A84" s="1780"/>
      <c r="B84" s="1776"/>
      <c r="C84" s="1776"/>
      <c r="D84" s="1776"/>
      <c r="E84" s="1771" t="str">
        <f>G68</f>
        <v>前期</v>
      </c>
      <c r="F84" s="1772"/>
      <c r="G84" s="1674" t="str">
        <f>'財務諸表（入力）'!J5</f>
        <v>今期</v>
      </c>
      <c r="H84" s="1675"/>
      <c r="I84" s="1676" t="s">
        <v>284</v>
      </c>
      <c r="J84" s="1731" t="s">
        <v>273</v>
      </c>
      <c r="K84" s="1732"/>
      <c r="L84" s="1735" t="s">
        <v>278</v>
      </c>
      <c r="M84" s="1737" t="s">
        <v>279</v>
      </c>
      <c r="N84"/>
      <c r="O84" s="4"/>
    </row>
    <row r="85" spans="1:18" s="173" customFormat="1" ht="21" customHeight="1" x14ac:dyDescent="0.2">
      <c r="A85" s="1776"/>
      <c r="B85" s="1776"/>
      <c r="C85" s="1776"/>
      <c r="D85" s="1776"/>
      <c r="E85" s="359" t="s">
        <v>274</v>
      </c>
      <c r="F85" s="359" t="s">
        <v>263</v>
      </c>
      <c r="G85" s="360" t="s">
        <v>275</v>
      </c>
      <c r="H85" s="359" t="s">
        <v>263</v>
      </c>
      <c r="I85" s="1677"/>
      <c r="J85" s="1733"/>
      <c r="K85" s="1734"/>
      <c r="L85" s="1736"/>
      <c r="M85" s="1738"/>
      <c r="N85"/>
      <c r="O85" s="4"/>
    </row>
    <row r="86" spans="1:18" s="173" customFormat="1" ht="15" customHeight="1" x14ac:dyDescent="0.2">
      <c r="A86" s="1781" t="s">
        <v>264</v>
      </c>
      <c r="B86" s="1609"/>
      <c r="C86" s="1609"/>
      <c r="D86" s="1609"/>
      <c r="E86" s="389" t="str">
        <f>G70</f>
        <v/>
      </c>
      <c r="F86" s="390" t="s">
        <v>231</v>
      </c>
      <c r="G86" s="391" t="str">
        <f>G54</f>
        <v/>
      </c>
      <c r="H86" s="390" t="s">
        <v>231</v>
      </c>
      <c r="I86" s="392" t="e">
        <f t="shared" ref="I86:I97" si="8">G86-E86</f>
        <v>#VALUE!</v>
      </c>
      <c r="J86" s="1678" t="s">
        <v>231</v>
      </c>
      <c r="K86" s="1679"/>
      <c r="L86" s="366" t="s">
        <v>231</v>
      </c>
      <c r="M86" s="366" t="s">
        <v>231</v>
      </c>
      <c r="N86"/>
      <c r="O86" s="4" t="str">
        <f>CONCATENATE("■　",E68,"→",G68,"内訳")</f>
        <v>■　前々期→前期内訳</v>
      </c>
    </row>
    <row r="87" spans="1:18" s="173" customFormat="1" ht="15" customHeight="1" x14ac:dyDescent="0.2">
      <c r="A87" s="1782" t="s">
        <v>14</v>
      </c>
      <c r="B87" s="1556"/>
      <c r="C87" s="1556"/>
      <c r="D87" s="1556"/>
      <c r="E87" s="116">
        <f t="shared" ref="E87:E92" si="9">G71</f>
        <v>0</v>
      </c>
      <c r="F87" s="367" t="e">
        <f t="shared" ref="F87:F92" si="10">IF(F$54=0,"",E87/F$54)</f>
        <v>#VALUE!</v>
      </c>
      <c r="G87" s="368">
        <f>'財務諸表（入力）'!J8+'財務諸表（入力）'!J83+'財務諸表（入力）'!J84</f>
        <v>0</v>
      </c>
      <c r="H87" s="367" t="e">
        <f t="shared" ref="H87:H92" si="11">IF(G$54=0,"",G87/G$54)</f>
        <v>#VALUE!</v>
      </c>
      <c r="I87" s="393">
        <f t="shared" si="8"/>
        <v>0</v>
      </c>
      <c r="J87" s="1680" t="e">
        <f t="shared" ref="J87:J92" si="12">G$86*F87</f>
        <v>#VALUE!</v>
      </c>
      <c r="K87" s="1681"/>
      <c r="L87" s="116" t="e">
        <f t="shared" ref="L87:L92" si="13">J87-E87</f>
        <v>#VALUE!</v>
      </c>
      <c r="M87" s="116" t="e">
        <f t="shared" ref="M87:M92" si="14">G87-J87</f>
        <v>#VALUE!</v>
      </c>
      <c r="N87"/>
      <c r="O87" s="1722" t="e">
        <f>IF(R87&lt;0,"売上債権の回転期間短縮による、運転資金の減少＝","売上債権の回転期間長期化による、運転資金の増加＝")</f>
        <v>#VALUE!</v>
      </c>
      <c r="P87" s="1723"/>
      <c r="Q87" s="1724"/>
      <c r="R87" s="394" t="e">
        <f>M71+M72</f>
        <v>#VALUE!</v>
      </c>
    </row>
    <row r="88" spans="1:18" s="173" customFormat="1" ht="15" customHeight="1" x14ac:dyDescent="0.2">
      <c r="A88" s="1702" t="s">
        <v>12</v>
      </c>
      <c r="B88" s="1554"/>
      <c r="C88" s="1554"/>
      <c r="D88" s="1554"/>
      <c r="E88" s="125">
        <f t="shared" si="9"/>
        <v>0</v>
      </c>
      <c r="F88" s="369" t="e">
        <f t="shared" si="10"/>
        <v>#VALUE!</v>
      </c>
      <c r="G88" s="370">
        <f>'財務諸表（入力）'!J9</f>
        <v>0</v>
      </c>
      <c r="H88" s="369" t="e">
        <f t="shared" si="11"/>
        <v>#VALUE!</v>
      </c>
      <c r="I88" s="395">
        <f t="shared" si="8"/>
        <v>0</v>
      </c>
      <c r="J88" s="1682" t="e">
        <f t="shared" si="12"/>
        <v>#VALUE!</v>
      </c>
      <c r="K88" s="1683"/>
      <c r="L88" s="125" t="e">
        <f t="shared" si="13"/>
        <v>#VALUE!</v>
      </c>
      <c r="M88" s="125" t="e">
        <f t="shared" si="14"/>
        <v>#VALUE!</v>
      </c>
      <c r="N88"/>
      <c r="O88" s="1727" t="e">
        <f>IF(R88&lt;0,"買入債務の回転期間長期化による、運転資金の減少＝","買入債務の回転期間短縮による、運転資金の増加＝")</f>
        <v>#VALUE!</v>
      </c>
      <c r="P88" s="1728"/>
      <c r="Q88" s="1729"/>
      <c r="R88" s="296" t="e">
        <f>(M78+M79)*-1</f>
        <v>#VALUE!</v>
      </c>
    </row>
    <row r="89" spans="1:18" s="173" customFormat="1" ht="15" customHeight="1" x14ac:dyDescent="0.2">
      <c r="A89" s="1702" t="s">
        <v>16</v>
      </c>
      <c r="B89" s="1554"/>
      <c r="C89" s="1554"/>
      <c r="D89" s="1554"/>
      <c r="E89" s="125">
        <f t="shared" si="9"/>
        <v>0</v>
      </c>
      <c r="F89" s="369" t="e">
        <f t="shared" si="10"/>
        <v>#VALUE!</v>
      </c>
      <c r="G89" s="370">
        <f>'財務諸表（入力）'!J12</f>
        <v>0</v>
      </c>
      <c r="H89" s="369" t="e">
        <f t="shared" si="11"/>
        <v>#VALUE!</v>
      </c>
      <c r="I89" s="395">
        <f t="shared" si="8"/>
        <v>0</v>
      </c>
      <c r="J89" s="1682" t="e">
        <f t="shared" si="12"/>
        <v>#VALUE!</v>
      </c>
      <c r="K89" s="1683"/>
      <c r="L89" s="125" t="e">
        <f t="shared" si="13"/>
        <v>#VALUE!</v>
      </c>
      <c r="M89" s="125" t="e">
        <f t="shared" si="14"/>
        <v>#VALUE!</v>
      </c>
      <c r="N89"/>
      <c r="O89" s="1739" t="e">
        <f>IF(R89&lt;0,"棚卸資産の回転期間短縮による、運転資金の減少＝","棚卸資産の回転期間長期化による、運転資金の増加＝")</f>
        <v>#VALUE!</v>
      </c>
      <c r="P89" s="1740"/>
      <c r="Q89" s="1741"/>
      <c r="R89" s="396" t="e">
        <f>M73+M74+M75+M76</f>
        <v>#VALUE!</v>
      </c>
    </row>
    <row r="90" spans="1:18" s="173" customFormat="1" ht="15" customHeight="1" x14ac:dyDescent="0.2">
      <c r="A90" s="1702" t="s">
        <v>17</v>
      </c>
      <c r="B90" s="1554"/>
      <c r="C90" s="1554"/>
      <c r="D90" s="1554"/>
      <c r="E90" s="125">
        <f t="shared" si="9"/>
        <v>0</v>
      </c>
      <c r="F90" s="369" t="e">
        <f t="shared" si="10"/>
        <v>#VALUE!</v>
      </c>
      <c r="G90" s="370">
        <f>'財務諸表（入力）'!J13</f>
        <v>0</v>
      </c>
      <c r="H90" s="369" t="e">
        <f t="shared" si="11"/>
        <v>#VALUE!</v>
      </c>
      <c r="I90" s="395">
        <f t="shared" si="8"/>
        <v>0</v>
      </c>
      <c r="J90" s="1682" t="e">
        <f t="shared" si="12"/>
        <v>#VALUE!</v>
      </c>
      <c r="K90" s="1725"/>
      <c r="L90" s="125" t="e">
        <f t="shared" si="13"/>
        <v>#VALUE!</v>
      </c>
      <c r="M90" s="125" t="e">
        <f t="shared" si="14"/>
        <v>#VALUE!</v>
      </c>
      <c r="N90"/>
      <c r="O90" s="4"/>
      <c r="R90" s="361" t="e">
        <f>SUM(R87:R89)</f>
        <v>#VALUE!</v>
      </c>
    </row>
    <row r="91" spans="1:18" s="173" customFormat="1" ht="15" customHeight="1" x14ac:dyDescent="0.2">
      <c r="A91" s="1702" t="s">
        <v>58</v>
      </c>
      <c r="B91" s="1554"/>
      <c r="C91" s="1554"/>
      <c r="D91" s="1554"/>
      <c r="E91" s="125">
        <f t="shared" si="9"/>
        <v>0</v>
      </c>
      <c r="F91" s="369" t="e">
        <f t="shared" si="10"/>
        <v>#VALUE!</v>
      </c>
      <c r="G91" s="370">
        <f>'財務諸表（入力）'!J14</f>
        <v>0</v>
      </c>
      <c r="H91" s="369" t="e">
        <f t="shared" si="11"/>
        <v>#VALUE!</v>
      </c>
      <c r="I91" s="395">
        <f t="shared" si="8"/>
        <v>0</v>
      </c>
      <c r="J91" s="1682" t="e">
        <f t="shared" si="12"/>
        <v>#VALUE!</v>
      </c>
      <c r="K91" s="1725"/>
      <c r="L91" s="125" t="e">
        <f t="shared" si="13"/>
        <v>#VALUE!</v>
      </c>
      <c r="M91" s="125" t="e">
        <f t="shared" si="14"/>
        <v>#VALUE!</v>
      </c>
      <c r="N91"/>
      <c r="O91" s="4"/>
    </row>
    <row r="92" spans="1:18" s="173" customFormat="1" ht="15" customHeight="1" x14ac:dyDescent="0.2">
      <c r="A92" s="1473" t="s">
        <v>257</v>
      </c>
      <c r="B92" s="1519"/>
      <c r="C92" s="1519"/>
      <c r="D92" s="1519"/>
      <c r="E92" s="267">
        <f t="shared" si="9"/>
        <v>0</v>
      </c>
      <c r="F92" s="397" t="e">
        <f t="shared" si="10"/>
        <v>#VALUE!</v>
      </c>
      <c r="G92" s="398">
        <f>'財務諸表（入力）'!J15</f>
        <v>0</v>
      </c>
      <c r="H92" s="397" t="e">
        <f t="shared" si="11"/>
        <v>#VALUE!</v>
      </c>
      <c r="I92" s="399">
        <f t="shared" si="8"/>
        <v>0</v>
      </c>
      <c r="J92" s="1696" t="e">
        <f t="shared" si="12"/>
        <v>#VALUE!</v>
      </c>
      <c r="K92" s="1697"/>
      <c r="L92" s="267" t="e">
        <f t="shared" si="13"/>
        <v>#VALUE!</v>
      </c>
      <c r="M92" s="267" t="e">
        <f t="shared" si="14"/>
        <v>#VALUE!</v>
      </c>
      <c r="N92"/>
      <c r="O92" s="4" t="str">
        <f>CONCATENATE("■　",E84,"→",G84,"内訳")</f>
        <v>■　前期→今期内訳</v>
      </c>
    </row>
    <row r="93" spans="1:18" s="173" customFormat="1" ht="15" customHeight="1" x14ac:dyDescent="0.2">
      <c r="A93" s="1703" t="s">
        <v>36</v>
      </c>
      <c r="B93" s="1609"/>
      <c r="C93" s="1609"/>
      <c r="D93" s="1609"/>
      <c r="E93" s="131">
        <f>SUM(E87:E92)</f>
        <v>0</v>
      </c>
      <c r="F93" s="374" t="e">
        <f>SUM(F87:F92)</f>
        <v>#VALUE!</v>
      </c>
      <c r="G93" s="131">
        <f>SUM(G87:G92)</f>
        <v>0</v>
      </c>
      <c r="H93" s="374" t="e">
        <f>SUM(H87:H92)</f>
        <v>#VALUE!</v>
      </c>
      <c r="I93" s="400">
        <f t="shared" si="8"/>
        <v>0</v>
      </c>
      <c r="J93" s="1672" t="e">
        <f>SUM(J87:J92)</f>
        <v>#VALUE!</v>
      </c>
      <c r="K93" s="1730"/>
      <c r="L93" s="376" t="e">
        <f>SUM(L87:L92)</f>
        <v>#VALUE!</v>
      </c>
      <c r="M93" s="376" t="e">
        <f>SUM(M87:M92)</f>
        <v>#VALUE!</v>
      </c>
      <c r="N93"/>
      <c r="O93" s="1722" t="e">
        <f>IF(R93&lt;0,"売上債権の回転期間短縮による、運転資金の減少＝","売上債権の回転期間長期化による、運転資金の増加＝")</f>
        <v>#VALUE!</v>
      </c>
      <c r="P93" s="1622"/>
      <c r="Q93" s="1605"/>
      <c r="R93" s="394" t="e">
        <f>M87+M88</f>
        <v>#VALUE!</v>
      </c>
    </row>
    <row r="94" spans="1:18" s="173" customFormat="1" ht="15" customHeight="1" x14ac:dyDescent="0.2">
      <c r="A94" s="1782" t="s">
        <v>27</v>
      </c>
      <c r="B94" s="1556"/>
      <c r="C94" s="1556"/>
      <c r="D94" s="1556"/>
      <c r="E94" s="116">
        <f>G78</f>
        <v>0</v>
      </c>
      <c r="F94" s="367" t="e">
        <f>IF(F$54=0,"",E94/F$54)</f>
        <v>#VALUE!</v>
      </c>
      <c r="G94" s="368">
        <f>'財務諸表（入力）'!J51</f>
        <v>0</v>
      </c>
      <c r="H94" s="367" t="e">
        <f>IF(G$54=0,"",G94/G$54)</f>
        <v>#VALUE!</v>
      </c>
      <c r="I94" s="393">
        <f t="shared" si="8"/>
        <v>0</v>
      </c>
      <c r="J94" s="1680" t="e">
        <f>G$86*F94</f>
        <v>#VALUE!</v>
      </c>
      <c r="K94" s="1726"/>
      <c r="L94" s="116" t="e">
        <f>J94-E94</f>
        <v>#VALUE!</v>
      </c>
      <c r="M94" s="116" t="e">
        <f>G94-J94</f>
        <v>#VALUE!</v>
      </c>
      <c r="N94"/>
      <c r="O94" s="1700" t="e">
        <f>IF(R94&lt;0,"買入債務の回転期間長期化による、運転資金の減少＝","買入債務の回転期間短縮による、運転資金の増加＝")</f>
        <v>#VALUE!</v>
      </c>
      <c r="P94" s="1554"/>
      <c r="Q94" s="1554"/>
      <c r="R94" s="296" t="e">
        <f>(M94+M95)*-1</f>
        <v>#VALUE!</v>
      </c>
    </row>
    <row r="95" spans="1:18" s="173" customFormat="1" ht="15" customHeight="1" x14ac:dyDescent="0.2">
      <c r="A95" s="1793" t="s">
        <v>28</v>
      </c>
      <c r="B95" s="1519"/>
      <c r="C95" s="1519"/>
      <c r="D95" s="1519"/>
      <c r="E95" s="267">
        <f>G79</f>
        <v>0</v>
      </c>
      <c r="F95" s="397" t="e">
        <f>IF(F$54=0,"",E95/F$54)</f>
        <v>#VALUE!</v>
      </c>
      <c r="G95" s="398">
        <f>'財務諸表（入力）'!J52+'財務諸表（入力）'!J84</f>
        <v>0</v>
      </c>
      <c r="H95" s="397" t="e">
        <f>IF(G$54=0,"",G95/G$54)</f>
        <v>#VALUE!</v>
      </c>
      <c r="I95" s="399">
        <f t="shared" si="8"/>
        <v>0</v>
      </c>
      <c r="J95" s="1696" t="e">
        <f>G$86*F95</f>
        <v>#VALUE!</v>
      </c>
      <c r="K95" s="1697"/>
      <c r="L95" s="267" t="e">
        <f>J95-E95</f>
        <v>#VALUE!</v>
      </c>
      <c r="M95" s="267" t="e">
        <f>G95-J95</f>
        <v>#VALUE!</v>
      </c>
      <c r="N95"/>
      <c r="O95" s="1699" t="e">
        <f>IF(R95&lt;0,"棚卸資産の回転期間短縮による、運転資金の減少＝","棚卸資産の回転期間長期化による、運転資金の増加＝")</f>
        <v>#VALUE!</v>
      </c>
      <c r="P95" s="1519"/>
      <c r="Q95" s="1519"/>
      <c r="R95" s="396" t="e">
        <f>M89+M90+M91+M92</f>
        <v>#VALUE!</v>
      </c>
    </row>
    <row r="96" spans="1:18" s="173" customFormat="1" ht="15" customHeight="1" thickBot="1" x14ac:dyDescent="0.25">
      <c r="A96" s="1794" t="s">
        <v>38</v>
      </c>
      <c r="B96" s="1795"/>
      <c r="C96" s="1795"/>
      <c r="D96" s="1795"/>
      <c r="E96" s="331">
        <f>SUM(E94:E95)</f>
        <v>0</v>
      </c>
      <c r="F96" s="380" t="e">
        <f>SUM(F94:F95)</f>
        <v>#VALUE!</v>
      </c>
      <c r="G96" s="331">
        <f>SUM(G94:G95)</f>
        <v>0</v>
      </c>
      <c r="H96" s="380" t="e">
        <f>SUM(H94:H95)</f>
        <v>#VALUE!</v>
      </c>
      <c r="I96" s="401">
        <f t="shared" si="8"/>
        <v>0</v>
      </c>
      <c r="J96" s="1672" t="e">
        <f>SUM(J94:J95)</f>
        <v>#VALUE!</v>
      </c>
      <c r="K96" s="1730"/>
      <c r="L96" s="137" t="e">
        <f>SUM(L94:L95)</f>
        <v>#VALUE!</v>
      </c>
      <c r="M96" s="137" t="e">
        <f>SUM(M94:M95)</f>
        <v>#VALUE!</v>
      </c>
      <c r="N96"/>
      <c r="R96" s="361" t="e">
        <f>SUM(R93:R95)</f>
        <v>#VALUE!</v>
      </c>
    </row>
    <row r="97" spans="1:19" s="173" customFormat="1" ht="18" customHeight="1" thickTop="1" thickBot="1" x14ac:dyDescent="0.25">
      <c r="A97" s="1749" t="s">
        <v>262</v>
      </c>
      <c r="B97" s="1750"/>
      <c r="C97" s="1750"/>
      <c r="D97" s="1750"/>
      <c r="E97" s="376">
        <f>E93-E96</f>
        <v>0</v>
      </c>
      <c r="F97" s="402" t="e">
        <f>F93-F96</f>
        <v>#VALUE!</v>
      </c>
      <c r="G97" s="376">
        <f>G93-G96</f>
        <v>0</v>
      </c>
      <c r="H97" s="403" t="e">
        <f>H93-H96</f>
        <v>#VALUE!</v>
      </c>
      <c r="I97" s="404">
        <f t="shared" si="8"/>
        <v>0</v>
      </c>
      <c r="J97" s="1672" t="e">
        <f>J93-J96</f>
        <v>#VALUE!</v>
      </c>
      <c r="K97" s="1673"/>
      <c r="L97" s="386" t="e">
        <f>L93-L96</f>
        <v>#VALUE!</v>
      </c>
      <c r="M97" s="387" t="e">
        <f>M93-M96</f>
        <v>#VALUE!</v>
      </c>
      <c r="N97"/>
    </row>
    <row r="98" spans="1:19" s="173" customFormat="1" ht="18" customHeight="1" x14ac:dyDescent="0.2">
      <c r="D98" s="405"/>
      <c r="E98" s="174"/>
      <c r="F98" s="406"/>
      <c r="G98" s="174"/>
      <c r="H98" s="406"/>
      <c r="I98" s="357"/>
      <c r="J98" s="357"/>
      <c r="K98" s="361"/>
      <c r="L98" s="174"/>
      <c r="M98" s="174"/>
      <c r="N98"/>
    </row>
    <row r="99" spans="1:19" s="173" customFormat="1" ht="18" customHeight="1" thickBot="1" x14ac:dyDescent="0.25">
      <c r="D99" s="405"/>
      <c r="E99" s="174"/>
      <c r="F99" s="406"/>
      <c r="G99" s="174"/>
      <c r="H99" s="406"/>
      <c r="I99" s="357"/>
      <c r="J99" s="357"/>
      <c r="K99" s="361"/>
      <c r="L99" s="174"/>
      <c r="M99" s="174"/>
      <c r="N99"/>
    </row>
    <row r="100" spans="1:19" ht="24" customHeight="1" thickBot="1" x14ac:dyDescent="0.25">
      <c r="A100" s="1635" t="s">
        <v>285</v>
      </c>
      <c r="B100" s="1572"/>
      <c r="C100" s="1572"/>
      <c r="D100" s="1572"/>
      <c r="E100" s="1572"/>
      <c r="F100" s="1701"/>
      <c r="P100" s="407" t="s">
        <v>355</v>
      </c>
      <c r="Q100" s="1859" t="s">
        <v>769</v>
      </c>
      <c r="R100" s="1860"/>
      <c r="S100" s="1861"/>
    </row>
    <row r="101" spans="1:19" ht="18" customHeight="1" x14ac:dyDescent="0.2">
      <c r="K101" s="408"/>
      <c r="L101" s="409"/>
      <c r="M101" s="4"/>
      <c r="N101" s="4"/>
      <c r="O101"/>
      <c r="P101" s="1864" t="s">
        <v>356</v>
      </c>
      <c r="Q101" s="410" t="s">
        <v>350</v>
      </c>
      <c r="R101" s="1871" t="s">
        <v>770</v>
      </c>
      <c r="S101" s="1872"/>
    </row>
    <row r="102" spans="1:19" ht="18" customHeight="1" x14ac:dyDescent="0.2">
      <c r="O102"/>
      <c r="P102" s="1865"/>
      <c r="Q102" s="411" t="s">
        <v>351</v>
      </c>
      <c r="R102" s="1873">
        <v>28</v>
      </c>
      <c r="S102" s="1874"/>
    </row>
    <row r="103" spans="1:19" ht="18" customHeight="1" x14ac:dyDescent="0.2">
      <c r="K103" s="408"/>
      <c r="L103" s="409"/>
      <c r="M103" s="1869" t="s">
        <v>354</v>
      </c>
      <c r="N103" s="1870"/>
      <c r="O103"/>
      <c r="P103" s="1865"/>
      <c r="Q103" s="411" t="s">
        <v>352</v>
      </c>
      <c r="R103" s="1875">
        <v>67.099999999999994</v>
      </c>
      <c r="S103" s="1874"/>
    </row>
    <row r="104" spans="1:19" ht="18" customHeight="1" x14ac:dyDescent="0.2">
      <c r="D104" s="4"/>
      <c r="E104" s="4"/>
      <c r="F104" s="412" t="str">
        <f>'財務諸表（入力）'!$E$5</f>
        <v>前々期</v>
      </c>
      <c r="G104" s="412" t="str">
        <f>'財務諸表（入力）'!$G$5</f>
        <v>前期</v>
      </c>
      <c r="H104" s="413" t="s">
        <v>272</v>
      </c>
      <c r="I104" s="413" t="str">
        <f>'財務諸表（入力）'!$J$5</f>
        <v>今期</v>
      </c>
      <c r="J104" s="1759" t="s">
        <v>272</v>
      </c>
      <c r="K104" s="1705"/>
      <c r="L104" s="409"/>
      <c r="M104" s="413" t="str">
        <f>'財務諸表（入力）'!$J$5</f>
        <v>今期</v>
      </c>
      <c r="N104" s="414" t="s">
        <v>349</v>
      </c>
      <c r="O104"/>
      <c r="P104" s="1866"/>
      <c r="Q104" s="415" t="s">
        <v>353</v>
      </c>
      <c r="R104" s="1876">
        <v>731759</v>
      </c>
      <c r="S104" s="1877"/>
    </row>
    <row r="105" spans="1:19" ht="18" customHeight="1" thickBot="1" x14ac:dyDescent="0.25">
      <c r="A105" s="1663" t="s">
        <v>310</v>
      </c>
      <c r="B105" s="1664"/>
      <c r="C105" s="1664"/>
      <c r="D105" s="1664"/>
      <c r="E105" s="1664"/>
      <c r="K105" s="408"/>
      <c r="L105" s="409"/>
      <c r="M105" s="4"/>
      <c r="N105" s="199"/>
      <c r="O105"/>
      <c r="P105"/>
      <c r="Q105"/>
      <c r="R105"/>
      <c r="S105"/>
    </row>
    <row r="106" spans="1:19" ht="15" customHeight="1" x14ac:dyDescent="0.2">
      <c r="A106" s="1686" t="s">
        <v>288</v>
      </c>
      <c r="B106" s="1751" t="s">
        <v>156</v>
      </c>
      <c r="C106" s="1622"/>
      <c r="D106" s="1622"/>
      <c r="E106" s="1605"/>
      <c r="F106" s="327" t="str">
        <f>IF($E$6=0,"",'財務諸表（入力）'!E157/'財務諸表（入力）'!E50)</f>
        <v/>
      </c>
      <c r="G106" s="327" t="str">
        <f>IF($F$6=0,"",'財務諸表（入力）'!G157/'財務諸表（入力）'!G50)</f>
        <v/>
      </c>
      <c r="H106" s="416" t="str">
        <f>IF($E$6=0,"",G106-F106)</f>
        <v/>
      </c>
      <c r="I106" s="327" t="str">
        <f>IF($G$6=0,"",'財務諸表（入力）'!J157/'財務諸表（入力）'!J50)</f>
        <v/>
      </c>
      <c r="J106" s="1760" t="str">
        <f>IF($E$6=0,"",I106-G106)</f>
        <v/>
      </c>
      <c r="K106" s="1761"/>
      <c r="L106"/>
      <c r="M106" s="327" t="str">
        <f>I106</f>
        <v/>
      </c>
      <c r="N106" s="504">
        <v>4.5999999999999999E-2</v>
      </c>
      <c r="O106" s="1862"/>
      <c r="P106" s="1863"/>
      <c r="Q106" s="1863"/>
      <c r="R106" s="1863"/>
      <c r="S106" s="1863"/>
    </row>
    <row r="107" spans="1:19" ht="15" customHeight="1" x14ac:dyDescent="0.2">
      <c r="A107" s="1687"/>
      <c r="B107" s="1752" t="s">
        <v>286</v>
      </c>
      <c r="C107" s="1753"/>
      <c r="D107" s="1753"/>
      <c r="E107" s="1662"/>
      <c r="F107" s="418" t="str">
        <f>IF($E$6=0,"",'財務諸表（入力）'!E166/'財務諸表（入力）'!E50)</f>
        <v/>
      </c>
      <c r="G107" s="418" t="str">
        <f>IF($F$6=0,"",'財務諸表（入力）'!G166/'財務諸表（入力）'!G50)</f>
        <v/>
      </c>
      <c r="H107" s="419" t="str">
        <f>IF($E$6=0,"",G107-F107)</f>
        <v/>
      </c>
      <c r="I107" s="418" t="str">
        <f>IF($G$6=0,"",'財務諸表（入力）'!J166/'財務諸表（入力）'!J50)</f>
        <v/>
      </c>
      <c r="J107" s="1773" t="str">
        <f>IF($E$6=0,"",I107-G107)</f>
        <v/>
      </c>
      <c r="K107" s="1774"/>
      <c r="L107"/>
      <c r="M107" s="418" t="str">
        <f>I107</f>
        <v/>
      </c>
      <c r="N107" s="501">
        <v>5.5E-2</v>
      </c>
      <c r="O107" s="1862"/>
      <c r="P107" s="1863"/>
      <c r="Q107" s="1863"/>
      <c r="R107" s="1863"/>
      <c r="S107" s="1863"/>
    </row>
    <row r="108" spans="1:19" ht="15" customHeight="1" x14ac:dyDescent="0.2">
      <c r="A108" s="1688"/>
      <c r="B108" s="1513" t="s">
        <v>309</v>
      </c>
      <c r="C108" s="1624"/>
      <c r="D108" s="1624"/>
      <c r="E108" s="1625"/>
      <c r="F108" s="328" t="str">
        <f>IF($E$6=0,"",'財務諸表（入力）'!E169/'財務諸表（入力）'!E79)</f>
        <v/>
      </c>
      <c r="G108" s="328" t="str">
        <f>IF($F$6=0,"",'財務諸表（入力）'!G169/'財務諸表（入力）'!G79)</f>
        <v/>
      </c>
      <c r="H108" s="420" t="str">
        <f>IF($E$6=0,"",G108-F108)</f>
        <v/>
      </c>
      <c r="I108" s="328" t="str">
        <f>IF($G$6=0,"",'財務諸表（入力）'!J169/'財務諸表（入力）'!J79)</f>
        <v/>
      </c>
      <c r="J108" s="1802" t="str">
        <f>IF($E$6=0,"",I108-G108)</f>
        <v/>
      </c>
      <c r="K108" s="1803"/>
      <c r="L108"/>
      <c r="M108" s="328" t="str">
        <f>I108</f>
        <v/>
      </c>
      <c r="N108" s="512">
        <v>0.10199999999999999</v>
      </c>
      <c r="O108" s="1862"/>
      <c r="P108" s="1863"/>
      <c r="Q108" s="1863"/>
      <c r="R108" s="1863"/>
      <c r="S108" s="1863"/>
    </row>
    <row r="109" spans="1:19" ht="15" customHeight="1" x14ac:dyDescent="0.2">
      <c r="A109" s="1671" t="s">
        <v>289</v>
      </c>
      <c r="B109" s="1746" t="s">
        <v>155</v>
      </c>
      <c r="C109" s="1747"/>
      <c r="D109" s="1747"/>
      <c r="E109" s="1748"/>
      <c r="F109" s="421" t="str">
        <f>IF($E$6=0,"",'財務諸表（入力）'!E129/'財務諸表（入力）'!E50)</f>
        <v/>
      </c>
      <c r="G109" s="421" t="str">
        <f>IF($F$6=0,"",'財務諸表（入力）'!G129/'財務諸表（入力）'!G50)</f>
        <v/>
      </c>
      <c r="H109" s="422" t="str">
        <f>IF($E$6=0,"",G109-F109)</f>
        <v/>
      </c>
      <c r="I109" s="421" t="str">
        <f>IF($G$6=0,"",'財務諸表（入力）'!J129/'財務諸表（入力）'!J50)</f>
        <v/>
      </c>
      <c r="J109" s="1762" t="str">
        <f>IF($E$6=0,"",I109-G109)</f>
        <v/>
      </c>
      <c r="K109" s="1763"/>
      <c r="L109"/>
      <c r="M109" s="421" t="str">
        <f>I109</f>
        <v/>
      </c>
      <c r="N109" s="513">
        <v>1.2</v>
      </c>
      <c r="O109" s="1862"/>
      <c r="P109" s="1863"/>
      <c r="Q109" s="1863"/>
      <c r="R109" s="1863"/>
      <c r="S109" s="1863"/>
    </row>
    <row r="110" spans="1:19" ht="15" customHeight="1" x14ac:dyDescent="0.2">
      <c r="A110" s="1671"/>
      <c r="B110" s="1491" t="s">
        <v>291</v>
      </c>
      <c r="C110" s="1754" t="s">
        <v>290</v>
      </c>
      <c r="D110" s="1755"/>
      <c r="E110" s="1756"/>
      <c r="F110" s="423" t="str">
        <f>IF($E$6=0,"",('財務諸表（入力）'!E50/'財務諸表（入力）'!$E$129)*365)</f>
        <v/>
      </c>
      <c r="G110" s="423" t="str">
        <f>IF($F$6=0,"",('財務諸表（入力）'!G50/'財務諸表（入力）'!$G$129)*365)</f>
        <v/>
      </c>
      <c r="H110" s="424" t="str">
        <f>IF($E$6=0,"",G110-F110)</f>
        <v/>
      </c>
      <c r="I110" s="423" t="str">
        <f>IF($G$6=0,"",('財務諸表（入力）'!J50/'財務諸表（入力）'!$J$129)*365)</f>
        <v/>
      </c>
      <c r="J110" s="1804" t="str">
        <f>IF($E$6=0,"",I110-G110)</f>
        <v/>
      </c>
      <c r="K110" s="1805"/>
      <c r="L110"/>
      <c r="M110" s="423" t="str">
        <f t="shared" ref="M110:M169" si="15">I110</f>
        <v/>
      </c>
      <c r="N110" s="514">
        <v>314.10000000000002</v>
      </c>
      <c r="O110" s="1862"/>
      <c r="P110" s="1863"/>
      <c r="Q110" s="1863"/>
      <c r="R110" s="1863"/>
      <c r="S110" s="1863"/>
    </row>
    <row r="111" spans="1:19" ht="15" customHeight="1" x14ac:dyDescent="0.2">
      <c r="A111" s="1671"/>
      <c r="B111" s="1671"/>
      <c r="C111" s="1784" t="s">
        <v>287</v>
      </c>
      <c r="D111" s="1785"/>
      <c r="E111" s="1786"/>
      <c r="F111" s="425" t="str">
        <f>IF($E$6=0,"",('財務諸表（入力）'!E28/'財務諸表（入力）'!$E$129)*365)</f>
        <v/>
      </c>
      <c r="G111" s="425" t="str">
        <f>IF($F$6=0,"",('財務諸表（入力）'!G28/'財務諸表（入力）'!$G$129)*365)</f>
        <v/>
      </c>
      <c r="H111" s="426" t="str">
        <f t="shared" ref="H111:H125" si="16">IF($E$6=0,"",G111-F111)</f>
        <v/>
      </c>
      <c r="I111" s="425" t="str">
        <f>IF($G$6=0,"",('財務諸表（入力）'!J28/'財務諸表（入力）'!$J$129)*365)</f>
        <v/>
      </c>
      <c r="J111" s="1757" t="str">
        <f t="shared" ref="J111:J122" si="17">IF($E$6=0,"",I111-G111)</f>
        <v/>
      </c>
      <c r="K111" s="1758"/>
      <c r="L111"/>
      <c r="M111" s="425" t="str">
        <f t="shared" si="15"/>
        <v/>
      </c>
      <c r="N111" s="515">
        <v>189.9</v>
      </c>
      <c r="O111" s="1862"/>
      <c r="P111" s="1863"/>
      <c r="Q111" s="1863"/>
      <c r="R111" s="1863"/>
      <c r="S111" s="1863"/>
    </row>
    <row r="112" spans="1:19" ht="15" customHeight="1" x14ac:dyDescent="0.2">
      <c r="A112" s="1671"/>
      <c r="B112" s="1671"/>
      <c r="C112" s="427"/>
      <c r="D112" s="1689" t="s">
        <v>292</v>
      </c>
      <c r="E112" s="1662"/>
      <c r="F112" s="428" t="str">
        <f>IF($E$6=0,"",('財務諸表（入力）'!E6/'財務諸表（入力）'!$E$129)*365)</f>
        <v/>
      </c>
      <c r="G112" s="428" t="str">
        <f>IF($F$6=0,"",('財務諸表（入力）'!G6/'財務諸表（入力）'!$G$129)*365)</f>
        <v/>
      </c>
      <c r="H112" s="429" t="str">
        <f t="shared" si="16"/>
        <v/>
      </c>
      <c r="I112" s="428" t="str">
        <f>IF($G$6=0,"",('財務諸表（入力）'!J6/'財務諸表（入力）'!$J$129)*365)</f>
        <v/>
      </c>
      <c r="J112" s="1757" t="str">
        <f t="shared" si="17"/>
        <v/>
      </c>
      <c r="K112" s="1758"/>
      <c r="L112"/>
      <c r="M112" s="428" t="str">
        <f t="shared" si="15"/>
        <v/>
      </c>
      <c r="N112" s="516">
        <v>100.4</v>
      </c>
      <c r="O112" s="1862"/>
      <c r="P112" s="1863"/>
      <c r="Q112" s="1863"/>
      <c r="R112" s="1863"/>
      <c r="S112" s="1863"/>
    </row>
    <row r="113" spans="1:19" ht="15" customHeight="1" x14ac:dyDescent="0.2">
      <c r="A113" s="1671"/>
      <c r="B113" s="1671"/>
      <c r="C113" s="427"/>
      <c r="D113" s="1768" t="s">
        <v>293</v>
      </c>
      <c r="E113" s="1769"/>
      <c r="F113" s="428" t="str">
        <f>IF($E$6=0,"",(('財務諸表（入力）'!E9+'財務諸表（入力）'!E8+'財務諸表（入力）'!E83+'財務諸表（入力）'!E84)/'財務諸表（入力）'!$E$129)*365)</f>
        <v/>
      </c>
      <c r="G113" s="428" t="str">
        <f>IF($F$6=0,"",(('財務諸表（入力）'!G9+'財務諸表（入力）'!G8+'財務諸表（入力）'!G83+'財務諸表（入力）'!G84)/'財務諸表（入力）'!$G$129)*365)</f>
        <v/>
      </c>
      <c r="H113" s="429" t="str">
        <f t="shared" si="16"/>
        <v/>
      </c>
      <c r="I113" s="428" t="str">
        <f>IF($G$6=0,"",(('財務諸表（入力）'!J9+'財務諸表（入力）'!J8+'財務諸表（入力）'!J83+'財務諸表（入力）'!J84)/'財務諸表（入力）'!$J$129)*365)</f>
        <v/>
      </c>
      <c r="J113" s="1757" t="str">
        <f t="shared" si="17"/>
        <v/>
      </c>
      <c r="K113" s="1758"/>
      <c r="L113"/>
      <c r="M113" s="428" t="str">
        <f t="shared" si="15"/>
        <v/>
      </c>
      <c r="N113" s="516">
        <v>63.6</v>
      </c>
      <c r="O113" s="1862"/>
      <c r="P113" s="1863"/>
      <c r="Q113" s="1863"/>
      <c r="R113" s="1863"/>
      <c r="S113" s="1863"/>
    </row>
    <row r="114" spans="1:19" ht="15" customHeight="1" x14ac:dyDescent="0.2">
      <c r="A114" s="1671"/>
      <c r="B114" s="1671"/>
      <c r="C114" s="427"/>
      <c r="D114" s="1768" t="s">
        <v>161</v>
      </c>
      <c r="E114" s="1769"/>
      <c r="F114" s="428" t="str">
        <f>IF($E$6=0,"",('財務諸表（入力）'!E16/'財務諸表（入力）'!$E$129)*365)</f>
        <v/>
      </c>
      <c r="G114" s="428" t="str">
        <f>IF($F$6=0,"",('財務諸表（入力）'!G16/'財務諸表（入力）'!$G$129)*365)</f>
        <v/>
      </c>
      <c r="H114" s="429" t="str">
        <f t="shared" si="16"/>
        <v/>
      </c>
      <c r="I114" s="428" t="str">
        <f>IF($G$6=0,"",('財務諸表（入力）'!J16/'財務諸表（入力）'!$J$129)*365)</f>
        <v/>
      </c>
      <c r="J114" s="1757" t="str">
        <f t="shared" si="17"/>
        <v/>
      </c>
      <c r="K114" s="1758"/>
      <c r="L114"/>
      <c r="M114" s="428" t="str">
        <f t="shared" si="15"/>
        <v/>
      </c>
      <c r="N114" s="516">
        <v>16.3</v>
      </c>
      <c r="O114" s="1862"/>
      <c r="P114" s="1863"/>
      <c r="Q114" s="1863"/>
      <c r="R114" s="1863"/>
      <c r="S114" s="1863"/>
    </row>
    <row r="115" spans="1:19" ht="15" customHeight="1" x14ac:dyDescent="0.2">
      <c r="A115" s="1671"/>
      <c r="B115" s="1671"/>
      <c r="C115" s="430"/>
      <c r="D115" s="1689" t="s">
        <v>294</v>
      </c>
      <c r="E115" s="1662"/>
      <c r="F115" s="428" t="str">
        <f>IF($E$6=0,"",(('財務諸表（入力）'!E28-'財務諸表（入力）'!E6-'財務諸表（入力）'!E9-'財務諸表（入力）'!E8-'財務諸表（入力）'!E83-'財務諸表（入力）'!E84-'財務諸表（入力）'!E16)/'財務諸表（入力）'!$E$129)*365)</f>
        <v/>
      </c>
      <c r="G115" s="428" t="str">
        <f>IF($F$6=0,"",(('財務諸表（入力）'!G28-'財務諸表（入力）'!G6-'財務諸表（入力）'!G9-'財務諸表（入力）'!G8-'財務諸表（入力）'!G83-'財務諸表（入力）'!G84-'財務諸表（入力）'!G16)/'財務諸表（入力）'!$G$129)*365)</f>
        <v/>
      </c>
      <c r="H115" s="429" t="str">
        <f t="shared" si="16"/>
        <v/>
      </c>
      <c r="I115" s="428" t="str">
        <f>IF($G$6=0,"",(('財務諸表（入力）'!J28-'財務諸表（入力）'!J6-'財務諸表（入力）'!J9-'財務諸表（入力）'!J8-'財務諸表（入力）'!J83-'財務諸表（入力）'!J84-'財務諸表（入力）'!J16)/'財務諸表（入力）'!$J$129)*365)</f>
        <v/>
      </c>
      <c r="J115" s="1757" t="str">
        <f t="shared" si="17"/>
        <v/>
      </c>
      <c r="K115" s="1758"/>
      <c r="L115"/>
      <c r="M115" s="428" t="str">
        <f t="shared" si="15"/>
        <v/>
      </c>
      <c r="N115" s="516">
        <v>9.6</v>
      </c>
      <c r="O115" s="1862"/>
      <c r="P115" s="1863"/>
      <c r="Q115" s="1863"/>
      <c r="R115" s="1863"/>
      <c r="S115" s="1863"/>
    </row>
    <row r="116" spans="1:19" ht="15" customHeight="1" x14ac:dyDescent="0.2">
      <c r="A116" s="1671"/>
      <c r="B116" s="1671"/>
      <c r="C116" s="1789" t="s">
        <v>295</v>
      </c>
      <c r="D116" s="1785"/>
      <c r="E116" s="1786"/>
      <c r="F116" s="425" t="str">
        <f>IF($E$6=0,"",('財務諸表（入力）'!E49/'財務諸表（入力）'!$E$129)*365)</f>
        <v/>
      </c>
      <c r="G116" s="425" t="str">
        <f>IF($F$6=0,"",('財務諸表（入力）'!G49/'財務諸表（入力）'!$G$129)*365)</f>
        <v/>
      </c>
      <c r="H116" s="426" t="str">
        <f t="shared" si="16"/>
        <v/>
      </c>
      <c r="I116" s="425" t="str">
        <f>IF($G$6=0,"",('財務諸表（入力）'!J49/'財務諸表（入力）'!$J$129)*365)</f>
        <v/>
      </c>
      <c r="J116" s="1757" t="str">
        <f t="shared" si="17"/>
        <v/>
      </c>
      <c r="K116" s="1758"/>
      <c r="L116"/>
      <c r="M116" s="425" t="str">
        <f t="shared" si="15"/>
        <v/>
      </c>
      <c r="N116" s="515">
        <v>124.2</v>
      </c>
      <c r="O116" s="1862"/>
      <c r="P116" s="1863"/>
      <c r="Q116" s="1863"/>
      <c r="R116" s="1863"/>
      <c r="S116" s="1863"/>
    </row>
    <row r="117" spans="1:19" ht="15" customHeight="1" x14ac:dyDescent="0.2">
      <c r="A117" s="1671"/>
      <c r="B117" s="1671"/>
      <c r="C117" s="430"/>
      <c r="D117" s="1790" t="s">
        <v>160</v>
      </c>
      <c r="E117" s="1554"/>
      <c r="F117" s="428" t="str">
        <f>IF($E$6=0,"",('財務諸表（入力）'!E37/'財務諸表（入力）'!$E$129)*365)</f>
        <v/>
      </c>
      <c r="G117" s="428" t="str">
        <f>IF($F$6=0,"",('財務諸表（入力）'!G37/'財務諸表（入力）'!$G$129)*365)</f>
        <v/>
      </c>
      <c r="H117" s="429" t="str">
        <f t="shared" si="16"/>
        <v/>
      </c>
      <c r="I117" s="428" t="str">
        <f>IF($G$6=0,"",('財務諸表（入力）'!J37/'財務諸表（入力）'!$J$129)*365)</f>
        <v/>
      </c>
      <c r="J117" s="1757" t="str">
        <f t="shared" si="17"/>
        <v/>
      </c>
      <c r="K117" s="1758"/>
      <c r="L117"/>
      <c r="M117" s="428" t="str">
        <f t="shared" si="15"/>
        <v/>
      </c>
      <c r="N117" s="516">
        <v>89.5</v>
      </c>
      <c r="O117" s="1862"/>
      <c r="P117" s="1863"/>
      <c r="Q117" s="1863"/>
      <c r="R117" s="1863"/>
      <c r="S117" s="1863"/>
    </row>
    <row r="118" spans="1:19" ht="15" customHeight="1" x14ac:dyDescent="0.2">
      <c r="A118" s="1671"/>
      <c r="B118" s="1671"/>
      <c r="C118" s="1789" t="s">
        <v>208</v>
      </c>
      <c r="D118" s="1785"/>
      <c r="E118" s="1786"/>
      <c r="F118" s="425" t="str">
        <f>IF($E$6=0,"",('財務諸表（入力）'!E61/'財務諸表（入力）'!$E$129)*365)</f>
        <v/>
      </c>
      <c r="G118" s="425" t="str">
        <f>IF($F$6=0,"",('財務諸表（入力）'!G61/'財務諸表（入力）'!$G$129)*365)</f>
        <v/>
      </c>
      <c r="H118" s="426" t="str">
        <f t="shared" si="16"/>
        <v/>
      </c>
      <c r="I118" s="425" t="str">
        <f>IF($G$6=0,"",('財務諸表（入力）'!J61/'財務諸表（入力）'!$J$129)*365)</f>
        <v/>
      </c>
      <c r="J118" s="1757" t="str">
        <f t="shared" si="17"/>
        <v/>
      </c>
      <c r="K118" s="1758"/>
      <c r="L118"/>
      <c r="M118" s="425" t="str">
        <f t="shared" si="15"/>
        <v/>
      </c>
      <c r="N118" s="515">
        <v>69.099999999999994</v>
      </c>
      <c r="O118" s="1862"/>
      <c r="P118" s="1863"/>
      <c r="Q118" s="1863"/>
      <c r="R118" s="1863"/>
      <c r="S118" s="1863"/>
    </row>
    <row r="119" spans="1:19" ht="15" customHeight="1" x14ac:dyDescent="0.2">
      <c r="A119" s="1671"/>
      <c r="B119" s="1671"/>
      <c r="C119" s="427"/>
      <c r="D119" s="1768" t="s">
        <v>296</v>
      </c>
      <c r="E119" s="1769"/>
      <c r="F119" s="428" t="str">
        <f>IF($E$6=0,"",(('財務諸表（入力）'!E51+'財務諸表（入力）'!E52+'財務諸表（入力）'!E84)/'財務諸表（入力）'!$E$129)*365)</f>
        <v/>
      </c>
      <c r="G119" s="428" t="str">
        <f>IF($F$6=0,"",(('財務諸表（入力）'!G51+'財務諸表（入力）'!G52+'財務諸表（入力）'!G84)/'財務諸表（入力）'!$G$129)*365)</f>
        <v/>
      </c>
      <c r="H119" s="429" t="str">
        <f t="shared" si="16"/>
        <v/>
      </c>
      <c r="I119" s="428" t="str">
        <f>IF($G$6=0,"",(('財務諸表（入力）'!J51+'財務諸表（入力）'!J52+'財務諸表（入力）'!J84)/'財務諸表（入力）'!$J$129)*365)</f>
        <v/>
      </c>
      <c r="J119" s="1757" t="str">
        <f t="shared" si="17"/>
        <v/>
      </c>
      <c r="K119" s="1758"/>
      <c r="L119"/>
      <c r="M119" s="428" t="str">
        <f t="shared" si="15"/>
        <v/>
      </c>
      <c r="N119" s="516">
        <v>24.3</v>
      </c>
      <c r="O119" s="1862"/>
      <c r="P119" s="1863"/>
      <c r="Q119" s="1863"/>
      <c r="R119" s="1863"/>
      <c r="S119" s="1863"/>
    </row>
    <row r="120" spans="1:19" ht="15" customHeight="1" x14ac:dyDescent="0.2">
      <c r="A120" s="1671"/>
      <c r="B120" s="1671"/>
      <c r="C120" s="430"/>
      <c r="D120" s="1787" t="s">
        <v>297</v>
      </c>
      <c r="E120" s="1788"/>
      <c r="F120" s="431"/>
      <c r="G120" s="431"/>
      <c r="H120" s="431"/>
      <c r="I120" s="431"/>
      <c r="J120" s="1694"/>
      <c r="K120" s="1695"/>
      <c r="L120"/>
      <c r="M120" s="431"/>
      <c r="N120" s="516">
        <v>52.6</v>
      </c>
      <c r="O120" s="1862"/>
      <c r="P120" s="1863"/>
      <c r="Q120" s="1863"/>
      <c r="R120" s="1863"/>
      <c r="S120" s="1863"/>
    </row>
    <row r="121" spans="1:19" ht="15" customHeight="1" x14ac:dyDescent="0.2">
      <c r="A121" s="1671"/>
      <c r="B121" s="1671"/>
      <c r="C121" s="1752" t="s">
        <v>211</v>
      </c>
      <c r="D121" s="1753"/>
      <c r="E121" s="1662"/>
      <c r="F121" s="428" t="str">
        <f>IF($E$6=0,"",('財務諸表（入力）'!E69/'財務諸表（入力）'!$E$129)*365)</f>
        <v/>
      </c>
      <c r="G121" s="428" t="str">
        <f>IF($F$6=0,"",('財務諸表（入力）'!G69/'財務諸表（入力）'!$G$129)*365)</f>
        <v/>
      </c>
      <c r="H121" s="429" t="str">
        <f t="shared" si="16"/>
        <v/>
      </c>
      <c r="I121" s="428" t="str">
        <f>IF($G$6=0,"",('財務諸表（入力）'!J69/'財務諸表（入力）'!$J$129)*365)</f>
        <v/>
      </c>
      <c r="J121" s="1757" t="str">
        <f t="shared" si="17"/>
        <v/>
      </c>
      <c r="K121" s="1758"/>
      <c r="L121"/>
      <c r="M121" s="428" t="str">
        <f t="shared" si="15"/>
        <v/>
      </c>
      <c r="N121" s="516">
        <v>83.2</v>
      </c>
      <c r="O121" s="1862"/>
      <c r="P121" s="1863"/>
      <c r="Q121" s="1863"/>
      <c r="R121" s="1863"/>
      <c r="S121" s="1863"/>
    </row>
    <row r="122" spans="1:19" ht="15" customHeight="1" x14ac:dyDescent="0.2">
      <c r="A122" s="1671"/>
      <c r="B122" s="1671"/>
      <c r="C122" s="1513" t="s">
        <v>158</v>
      </c>
      <c r="D122" s="1624"/>
      <c r="E122" s="1625"/>
      <c r="F122" s="432" t="str">
        <f>IF($E$6=0,"",('財務諸表（入力）'!E79/'財務諸表（入力）'!$E$129)*365)</f>
        <v/>
      </c>
      <c r="G122" s="432" t="str">
        <f>IF($F$6=0,"",('財務諸表（入力）'!G79/'財務諸表（入力）'!$G$129)*365)</f>
        <v/>
      </c>
      <c r="H122" s="433" t="str">
        <f t="shared" si="16"/>
        <v/>
      </c>
      <c r="I122" s="432" t="str">
        <f>IF($G$6=0,"",('財務諸表（入力）'!J79/'財務諸表（入力）'!$J$129)*365)</f>
        <v/>
      </c>
      <c r="J122" s="1764" t="str">
        <f t="shared" si="17"/>
        <v/>
      </c>
      <c r="K122" s="1765"/>
      <c r="L122"/>
      <c r="M122" s="432" t="str">
        <f t="shared" si="15"/>
        <v/>
      </c>
      <c r="N122" s="517">
        <v>161.80000000000001</v>
      </c>
      <c r="O122" s="1862"/>
      <c r="P122" s="1863"/>
      <c r="Q122" s="1863"/>
      <c r="R122" s="1863"/>
      <c r="S122" s="1863"/>
    </row>
    <row r="123" spans="1:19" ht="15" customHeight="1" x14ac:dyDescent="0.2">
      <c r="A123" s="1671" t="s">
        <v>307</v>
      </c>
      <c r="B123" s="1746" t="s">
        <v>298</v>
      </c>
      <c r="C123" s="1747"/>
      <c r="D123" s="1747"/>
      <c r="E123" s="1748"/>
      <c r="F123" s="434" t="str">
        <f>IF(E6=0,"",'財務諸表（入力）'!E157/'財務諸表（入力）'!E129)</f>
        <v/>
      </c>
      <c r="G123" s="434" t="str">
        <f>IF(F6=0,"",'財務諸表（入力）'!G157/'財務諸表（入力）'!G129)</f>
        <v/>
      </c>
      <c r="H123" s="435" t="str">
        <f t="shared" si="16"/>
        <v/>
      </c>
      <c r="I123" s="434" t="str">
        <f>IF(G6=0,"",'財務諸表（入力）'!J157/'財務諸表（入力）'!J129)</f>
        <v/>
      </c>
      <c r="J123" s="1692" t="str">
        <f>IF($E$6=0,"",I123-G123)</f>
        <v/>
      </c>
      <c r="K123" s="1783"/>
      <c r="L123"/>
      <c r="M123" s="434" t="str">
        <f t="shared" si="15"/>
        <v/>
      </c>
      <c r="N123" s="518">
        <v>0.04</v>
      </c>
      <c r="O123" s="1862"/>
      <c r="P123" s="1863"/>
      <c r="Q123" s="1863"/>
      <c r="R123" s="1863"/>
      <c r="S123" s="1863"/>
    </row>
    <row r="124" spans="1:19" ht="15" customHeight="1" x14ac:dyDescent="0.2">
      <c r="A124" s="1671"/>
      <c r="B124" s="1498" t="s">
        <v>299</v>
      </c>
      <c r="C124" s="1627"/>
      <c r="D124" s="1627"/>
      <c r="E124" s="1628"/>
      <c r="F124" s="436" t="str">
        <f>IF(E6=0,"",'財務諸表（入力）'!E166/'財務諸表（入力）'!E129)</f>
        <v/>
      </c>
      <c r="G124" s="436" t="str">
        <f>IF(F6=0,"",'財務諸表（入力）'!G166/'財務諸表（入力）'!G129)</f>
        <v/>
      </c>
      <c r="H124" s="435" t="str">
        <f t="shared" si="16"/>
        <v/>
      </c>
      <c r="I124" s="436" t="str">
        <f>IF(G6=0,"",'財務諸表（入力）'!J166/'財務諸表（入力）'!J129)</f>
        <v/>
      </c>
      <c r="J124" s="1692" t="str">
        <f>IF($E$6=0,"",I124-G124)</f>
        <v/>
      </c>
      <c r="K124" s="1693"/>
      <c r="L124"/>
      <c r="M124" s="436" t="str">
        <f t="shared" si="15"/>
        <v/>
      </c>
      <c r="N124" s="519">
        <v>4.8000000000000001E-2</v>
      </c>
      <c r="O124" s="1862"/>
      <c r="P124" s="1863"/>
      <c r="Q124" s="1863"/>
      <c r="R124" s="1863"/>
      <c r="S124" s="1863"/>
    </row>
    <row r="125" spans="1:19" ht="15" customHeight="1" x14ac:dyDescent="0.2">
      <c r="A125" s="1671"/>
      <c r="B125" s="1491" t="s">
        <v>308</v>
      </c>
      <c r="C125" s="1821" t="s">
        <v>300</v>
      </c>
      <c r="D125" s="1523"/>
      <c r="E125" s="1806"/>
      <c r="F125" s="434" t="str">
        <f>IF($E$6=0,"",'財務諸表（入力）'!E137/'財務諸表（入力）'!$E$129)</f>
        <v/>
      </c>
      <c r="G125" s="434" t="str">
        <f>IF($F$6=0,"",'財務諸表（入力）'!G137/'財務諸表（入力）'!$G$129)</f>
        <v/>
      </c>
      <c r="H125" s="437" t="str">
        <f t="shared" si="16"/>
        <v/>
      </c>
      <c r="I125" s="434" t="str">
        <f>IF($G$6=0,"",'財務諸表（入力）'!J137/'財務諸表（入力）'!$J$129)</f>
        <v/>
      </c>
      <c r="J125" s="1692" t="str">
        <f>IF($E$6=0,"",I125-G125)</f>
        <v/>
      </c>
      <c r="K125" s="1693"/>
      <c r="L125"/>
      <c r="M125" s="434" t="str">
        <f t="shared" si="15"/>
        <v/>
      </c>
      <c r="N125" s="518">
        <v>0.16300000000000001</v>
      </c>
      <c r="O125" s="1862"/>
      <c r="P125" s="1863"/>
      <c r="Q125" s="1863"/>
      <c r="R125" s="1863"/>
      <c r="S125" s="1863"/>
    </row>
    <row r="126" spans="1:19" ht="15" customHeight="1" x14ac:dyDescent="0.2">
      <c r="A126" s="1671"/>
      <c r="B126" s="1671"/>
      <c r="C126" s="1686" t="s">
        <v>192</v>
      </c>
      <c r="D126" s="1510" t="s">
        <v>188</v>
      </c>
      <c r="E126" s="1605"/>
      <c r="F126" s="327" t="str">
        <f>IF($E$6=0,"",'財務諸表（入力）'!E96/'財務諸表（入力）'!$E$129)</f>
        <v/>
      </c>
      <c r="G126" s="327" t="str">
        <f>IF($F$6=0,"",'財務諸表（入力）'!G96/'財務諸表（入力）'!$G$129)</f>
        <v/>
      </c>
      <c r="H126" s="438" t="str">
        <f t="shared" ref="H126:H144" si="18">IF($E$6=0,"",G126-F126)</f>
        <v/>
      </c>
      <c r="I126" s="327" t="str">
        <f>IF($G$6=0,"",'財務諸表（入力）'!J96/'財務諸表（入力）'!$J$129)</f>
        <v/>
      </c>
      <c r="J126" s="1690" t="str">
        <f t="shared" ref="J126:J134" si="19">IF($E$6=0,"",I126-G126)</f>
        <v/>
      </c>
      <c r="K126" s="1691"/>
      <c r="L126"/>
      <c r="M126" s="327" t="str">
        <f t="shared" si="15"/>
        <v/>
      </c>
      <c r="N126" s="520">
        <v>0.26900000000000002</v>
      </c>
      <c r="O126" s="1862"/>
      <c r="P126" s="1863"/>
      <c r="Q126" s="1863"/>
      <c r="R126" s="1863"/>
      <c r="S126" s="1863"/>
    </row>
    <row r="127" spans="1:19" ht="15" customHeight="1" x14ac:dyDescent="0.2">
      <c r="A127" s="1671"/>
      <c r="B127" s="1671"/>
      <c r="C127" s="1687"/>
      <c r="D127" s="1752" t="s">
        <v>191</v>
      </c>
      <c r="E127" s="1662"/>
      <c r="F127" s="418" t="str">
        <f>IF($E$6=0,"",'財務諸表（入力）'!E101/'財務諸表（入力）'!$E$129)</f>
        <v/>
      </c>
      <c r="G127" s="418" t="str">
        <f>IF($F$6=0,"",'財務諸表（入力）'!G101/'財務諸表（入力）'!$G$129)</f>
        <v/>
      </c>
      <c r="H127" s="439" t="str">
        <f t="shared" si="18"/>
        <v/>
      </c>
      <c r="I127" s="418" t="str">
        <f>IF($G$6=0,"",'財務諸表（入力）'!J101/'財務諸表（入力）'!$J$129)</f>
        <v/>
      </c>
      <c r="J127" s="1742" t="str">
        <f t="shared" si="19"/>
        <v/>
      </c>
      <c r="K127" s="1743"/>
      <c r="L127"/>
      <c r="M127" s="418" t="str">
        <f t="shared" si="15"/>
        <v/>
      </c>
      <c r="N127" s="501">
        <v>0.29599999999999999</v>
      </c>
      <c r="O127" s="1862"/>
      <c r="P127" s="1863"/>
      <c r="Q127" s="1863"/>
      <c r="R127" s="1863"/>
      <c r="S127" s="1863"/>
    </row>
    <row r="128" spans="1:19" ht="15" customHeight="1" x14ac:dyDescent="0.2">
      <c r="A128" s="1671"/>
      <c r="B128" s="1671"/>
      <c r="C128" s="1687"/>
      <c r="D128" s="1752" t="s">
        <v>175</v>
      </c>
      <c r="E128" s="1662"/>
      <c r="F128" s="418" t="str">
        <f>IF($E$6=0,"",'財務諸表（入力）'!E103/'財務諸表（入力）'!$E$129)</f>
        <v/>
      </c>
      <c r="G128" s="418" t="str">
        <f>IF($F$6=0,"",'財務諸表（入力）'!G103/'財務諸表（入力）'!$G$129)</f>
        <v/>
      </c>
      <c r="H128" s="439" t="str">
        <f t="shared" si="18"/>
        <v/>
      </c>
      <c r="I128" s="418" t="str">
        <f>IF($G$6=0,"",'財務諸表（入力）'!J103/'財務諸表（入力）'!$J$129)</f>
        <v/>
      </c>
      <c r="J128" s="1742" t="str">
        <f t="shared" si="19"/>
        <v/>
      </c>
      <c r="K128" s="1743"/>
      <c r="L128"/>
      <c r="M128" s="418" t="str">
        <f t="shared" si="15"/>
        <v/>
      </c>
      <c r="N128" s="501">
        <v>0.128</v>
      </c>
      <c r="O128" s="1862"/>
      <c r="P128" s="1863"/>
      <c r="Q128" s="1863"/>
      <c r="R128" s="1863"/>
      <c r="S128" s="1863"/>
    </row>
    <row r="129" spans="1:19" ht="15" customHeight="1" x14ac:dyDescent="0.2">
      <c r="A129" s="1671"/>
      <c r="B129" s="1671"/>
      <c r="C129" s="1688"/>
      <c r="D129" s="1513" t="s">
        <v>301</v>
      </c>
      <c r="E129" s="1625"/>
      <c r="F129" s="328" t="str">
        <f>IF($E$6=0,"",('財務諸表（入力）'!E117-'財務諸表（入力）'!E103)/'財務諸表（入力）'!$E$129)</f>
        <v/>
      </c>
      <c r="G129" s="328" t="str">
        <f>IF($F$6=0,"",('財務諸表（入力）'!G117-'財務諸表（入力）'!G103)/'財務諸表（入力）'!$G$129)</f>
        <v/>
      </c>
      <c r="H129" s="440" t="str">
        <f t="shared" si="18"/>
        <v/>
      </c>
      <c r="I129" s="328" t="str">
        <f>IF($G$6=0,"",('財務諸表（入力）'!J117-'財務諸表（入力）'!J103)/'財務諸表（入力）'!$J$129)</f>
        <v/>
      </c>
      <c r="J129" s="1744" t="str">
        <f t="shared" si="19"/>
        <v/>
      </c>
      <c r="K129" s="1745"/>
      <c r="L129"/>
      <c r="M129" s="328" t="str">
        <f t="shared" si="15"/>
        <v/>
      </c>
      <c r="N129" s="512">
        <v>0.10199999999999999</v>
      </c>
      <c r="O129" s="1862"/>
      <c r="P129" s="1863"/>
      <c r="Q129" s="1863"/>
      <c r="R129" s="1863"/>
      <c r="S129" s="1863"/>
    </row>
    <row r="130" spans="1:19" ht="15" customHeight="1" x14ac:dyDescent="0.2">
      <c r="A130" s="1671"/>
      <c r="B130" s="1671"/>
      <c r="C130" s="1822" t="s">
        <v>302</v>
      </c>
      <c r="D130" s="1823"/>
      <c r="E130" s="1824"/>
      <c r="F130" s="436" t="str">
        <f>IF($E$6=0,"",'財務諸表（入力）'!E156/'財務諸表（入力）'!$E$129)</f>
        <v/>
      </c>
      <c r="G130" s="436" t="str">
        <f>IF($F$6=0,"",'財務諸表（入力）'!G156/'財務諸表（入力）'!$G$129)</f>
        <v/>
      </c>
      <c r="H130" s="441" t="str">
        <f t="shared" si="18"/>
        <v/>
      </c>
      <c r="I130" s="436" t="str">
        <f>IF($G$6=0,"",'財務諸表（入力）'!J156/'財務諸表（入力）'!$J$129)</f>
        <v/>
      </c>
      <c r="J130" s="1690" t="str">
        <f t="shared" si="19"/>
        <v/>
      </c>
      <c r="K130" s="1691"/>
      <c r="L130"/>
      <c r="M130" s="436" t="str">
        <f t="shared" si="15"/>
        <v/>
      </c>
      <c r="N130" s="519">
        <v>0.123</v>
      </c>
      <c r="O130" s="1862"/>
      <c r="P130" s="1863"/>
      <c r="Q130" s="1863"/>
      <c r="R130" s="1863"/>
      <c r="S130" s="1863"/>
    </row>
    <row r="131" spans="1:19" ht="15" customHeight="1" x14ac:dyDescent="0.2">
      <c r="A131" s="1671"/>
      <c r="B131" s="1671"/>
      <c r="C131" s="442"/>
      <c r="D131" s="1698" t="s">
        <v>303</v>
      </c>
      <c r="E131" s="1625"/>
      <c r="F131" s="328" t="str">
        <f>IF($E$6=0,"",('財務諸表（入力）'!E138+'財務諸表（入力）'!E139+'財務諸表（入力）'!E140+'財務諸表（入力）'!E141)/'財務諸表（入力）'!$E$129)</f>
        <v/>
      </c>
      <c r="G131" s="328" t="str">
        <f>IF($F$6=0,"",('財務諸表（入力）'!G138+'財務諸表（入力）'!G139+'財務諸表（入力）'!G140+'財務諸表（入力）'!G141)/'財務諸表（入力）'!$G$129)</f>
        <v/>
      </c>
      <c r="H131" s="440" t="str">
        <f t="shared" si="18"/>
        <v/>
      </c>
      <c r="I131" s="328" t="str">
        <f>IF($G$6=0,"",('財務諸表（入力）'!J138+'財務諸表（入力）'!J139+'財務諸表（入力）'!J140+'財務諸表（入力）'!J141)/'財務諸表（入力）'!$J$129)</f>
        <v/>
      </c>
      <c r="J131" s="1744" t="str">
        <f t="shared" si="19"/>
        <v/>
      </c>
      <c r="K131" s="1745"/>
      <c r="L131"/>
      <c r="M131" s="328" t="str">
        <f t="shared" si="15"/>
        <v/>
      </c>
      <c r="N131" s="512">
        <v>7.3999999999999996E-2</v>
      </c>
      <c r="O131" s="1862"/>
      <c r="P131" s="1863"/>
      <c r="Q131" s="1863"/>
      <c r="R131" s="1863"/>
      <c r="S131" s="1863"/>
    </row>
    <row r="132" spans="1:19" ht="15" customHeight="1" x14ac:dyDescent="0.2">
      <c r="A132" s="1671"/>
      <c r="B132" s="1671"/>
      <c r="C132" s="1498" t="s">
        <v>304</v>
      </c>
      <c r="D132" s="1627"/>
      <c r="E132" s="1628"/>
      <c r="F132" s="434" t="str">
        <f>IF($E$6=0,"",'財務諸表（入力）'!E162/'財務諸表（入力）'!$E$129)</f>
        <v/>
      </c>
      <c r="G132" s="434" t="str">
        <f>IF($F$6=0,"",'財務諸表（入力）'!G162/'財務諸表（入力）'!$G$129)</f>
        <v/>
      </c>
      <c r="H132" s="435" t="str">
        <f t="shared" si="18"/>
        <v/>
      </c>
      <c r="I132" s="434" t="str">
        <f>IF($G$6=0,"",'財務諸表（入力）'!J162/'財務諸表（入力）'!$J$129)</f>
        <v/>
      </c>
      <c r="J132" s="1692" t="str">
        <f t="shared" si="19"/>
        <v/>
      </c>
      <c r="K132" s="1770"/>
      <c r="L132"/>
      <c r="M132" s="434" t="str">
        <f t="shared" si="15"/>
        <v/>
      </c>
      <c r="N132" s="518">
        <v>1.4999999999999999E-2</v>
      </c>
      <c r="O132" s="1862"/>
      <c r="P132" s="1863"/>
      <c r="Q132" s="1863"/>
      <c r="R132" s="1863"/>
      <c r="S132" s="1863"/>
    </row>
    <row r="133" spans="1:19" ht="15" customHeight="1" x14ac:dyDescent="0.2">
      <c r="A133" s="1671"/>
      <c r="B133" s="1671"/>
      <c r="C133" s="1822" t="s">
        <v>305</v>
      </c>
      <c r="D133" s="1823"/>
      <c r="E133" s="1824"/>
      <c r="F133" s="436" t="str">
        <f>IF($E$6=0,"",'財務諸表（入力）'!E165/'財務諸表（入力）'!$E$129)</f>
        <v/>
      </c>
      <c r="G133" s="436" t="str">
        <f>IF($F$6=0,"",'財務諸表（入力）'!G165/'財務諸表（入力）'!$G$129)</f>
        <v/>
      </c>
      <c r="H133" s="441" t="str">
        <f t="shared" si="18"/>
        <v/>
      </c>
      <c r="I133" s="436" t="str">
        <f>IF($G$6=0,"",'財務諸表（入力）'!J165/'財務諸表（入力）'!$J$129)</f>
        <v/>
      </c>
      <c r="J133" s="1690" t="str">
        <f t="shared" si="19"/>
        <v/>
      </c>
      <c r="K133" s="1691"/>
      <c r="L133"/>
      <c r="M133" s="436" t="str">
        <f t="shared" si="15"/>
        <v/>
      </c>
      <c r="N133" s="519">
        <v>7.0000000000000001E-3</v>
      </c>
      <c r="O133" s="1862"/>
      <c r="P133" s="1863"/>
      <c r="Q133" s="1863"/>
      <c r="R133" s="1863"/>
      <c r="S133" s="1863"/>
    </row>
    <row r="134" spans="1:19" ht="15" customHeight="1" thickBot="1" x14ac:dyDescent="0.25">
      <c r="A134" s="1826"/>
      <c r="B134" s="1826"/>
      <c r="C134" s="427"/>
      <c r="D134" s="1825" t="s">
        <v>306</v>
      </c>
      <c r="E134" s="1786"/>
      <c r="F134" s="443" t="str">
        <f>IF($E$6=0,"",'財務諸表（入力）'!E163/'財務諸表（入力）'!$E$129)</f>
        <v/>
      </c>
      <c r="G134" s="443" t="str">
        <f>IF($F$6=0,"",'財務諸表（入力）'!G163/'財務諸表（入力）'!$G$129)</f>
        <v/>
      </c>
      <c r="H134" s="444" t="str">
        <f t="shared" si="18"/>
        <v/>
      </c>
      <c r="I134" s="443" t="str">
        <f>IF($G$6=0,"",'財務諸表（入力）'!J163/'財務諸表（入力）'!$J$129)</f>
        <v/>
      </c>
      <c r="J134" s="1830" t="str">
        <f t="shared" si="19"/>
        <v/>
      </c>
      <c r="K134" s="1831"/>
      <c r="L134"/>
      <c r="M134" s="443" t="str">
        <f t="shared" si="15"/>
        <v/>
      </c>
      <c r="N134" s="506">
        <v>5.0000000000000001E-3</v>
      </c>
      <c r="O134" s="1862"/>
      <c r="P134" s="1863"/>
      <c r="Q134" s="1863"/>
      <c r="R134" s="1863"/>
      <c r="S134" s="1863"/>
    </row>
    <row r="135" spans="1:19" ht="15" customHeight="1" thickBot="1" x14ac:dyDescent="0.25">
      <c r="A135" s="1665" t="s">
        <v>311</v>
      </c>
      <c r="B135" s="1627"/>
      <c r="C135" s="1627"/>
      <c r="D135" s="1627"/>
      <c r="E135" s="1627"/>
      <c r="F135" s="445"/>
      <c r="G135" s="445"/>
      <c r="H135" s="445"/>
      <c r="I135" s="445"/>
      <c r="J135" s="446"/>
      <c r="K135" s="447"/>
      <c r="L135"/>
      <c r="M135" s="445"/>
      <c r="O135" s="871"/>
      <c r="P135" s="871"/>
      <c r="Q135" s="871"/>
      <c r="R135" s="871"/>
      <c r="S135" s="871"/>
    </row>
    <row r="136" spans="1:19" ht="15" customHeight="1" x14ac:dyDescent="0.2">
      <c r="A136" s="1684" t="s">
        <v>312</v>
      </c>
      <c r="B136" s="1685"/>
      <c r="C136" s="1685"/>
      <c r="D136" s="1685"/>
      <c r="E136" s="1685"/>
      <c r="F136" s="448" t="str">
        <f>IF($E$6=0,"",('財務諸表（入力）'!E129/'財務諸表（入力）'!E179)/12)</f>
        <v/>
      </c>
      <c r="G136" s="448" t="str">
        <f>IF($F$6=0,"",('財務諸表（入力）'!G129/'財務諸表（入力）'!G179)/12)</f>
        <v/>
      </c>
      <c r="H136" s="449" t="str">
        <f t="shared" si="18"/>
        <v/>
      </c>
      <c r="I136" s="448" t="str">
        <f>IF($G$6=0,"",('財務諸表（入力）'!J129/'財務諸表（入力）'!J179)/12)</f>
        <v/>
      </c>
      <c r="J136" s="1881" t="str">
        <f t="shared" ref="J136:J144" si="20">IF($E$6=0,"",I136-G136)</f>
        <v/>
      </c>
      <c r="K136" s="1882"/>
      <c r="L136"/>
      <c r="M136" s="448" t="str">
        <f t="shared" si="15"/>
        <v/>
      </c>
      <c r="N136" s="500">
        <v>909</v>
      </c>
      <c r="O136" s="1835"/>
      <c r="P136" s="1835"/>
      <c r="Q136" s="1835"/>
      <c r="R136" s="1835"/>
      <c r="S136" s="1836"/>
    </row>
    <row r="137" spans="1:19" ht="15" customHeight="1" x14ac:dyDescent="0.2">
      <c r="A137" s="1629" t="s">
        <v>347</v>
      </c>
      <c r="B137" s="1630"/>
      <c r="C137" s="1630"/>
      <c r="D137" s="1630"/>
      <c r="E137" s="1630"/>
      <c r="F137" s="418" t="str">
        <f>IF($E$6=0,"",'財務諸表（入力）'!E181/'財務諸表（入力）'!E129)</f>
        <v/>
      </c>
      <c r="G137" s="418" t="str">
        <f>IF($F$6=0,"",'財務諸表（入力）'!G181/'財務諸表（入力）'!G129)</f>
        <v/>
      </c>
      <c r="H137" s="439" t="str">
        <f t="shared" si="18"/>
        <v/>
      </c>
      <c r="I137" s="418" t="str">
        <f>IF($G$6=0,"",'財務諸表（入力）'!J181/'財務諸表（入力）'!J129)</f>
        <v/>
      </c>
      <c r="J137" s="1742" t="str">
        <f t="shared" si="20"/>
        <v/>
      </c>
      <c r="K137" s="1827"/>
      <c r="L137"/>
      <c r="M137" s="418" t="str">
        <f t="shared" si="15"/>
        <v/>
      </c>
      <c r="N137" s="501">
        <v>0.54</v>
      </c>
      <c r="O137" s="1837"/>
      <c r="P137" s="1837"/>
      <c r="Q137" s="1837"/>
      <c r="R137" s="1837"/>
      <c r="S137" s="1838"/>
    </row>
    <row r="138" spans="1:19" ht="15" customHeight="1" x14ac:dyDescent="0.2">
      <c r="A138" s="1629" t="s">
        <v>339</v>
      </c>
      <c r="B138" s="1630"/>
      <c r="C138" s="1630"/>
      <c r="D138" s="1630"/>
      <c r="E138" s="1630"/>
      <c r="F138" s="450" t="str">
        <f>IF($E$6=0,"",('財務諸表（入力）'!E181/12)/'財務諸表（入力）'!E179)</f>
        <v/>
      </c>
      <c r="G138" s="450" t="str">
        <f>IF($F$6=0,"",('財務諸表（入力）'!G181/12)/'財務諸表（入力）'!G179)</f>
        <v/>
      </c>
      <c r="H138" s="451" t="str">
        <f t="shared" si="18"/>
        <v/>
      </c>
      <c r="I138" s="450" t="str">
        <f>IF($G$6=0,"",('財務諸表（入力）'!J181/12)/'財務諸表（入力）'!J179)</f>
        <v/>
      </c>
      <c r="J138" s="1828" t="str">
        <f t="shared" si="20"/>
        <v/>
      </c>
      <c r="K138" s="1842"/>
      <c r="L138"/>
      <c r="M138" s="450" t="str">
        <f t="shared" si="15"/>
        <v/>
      </c>
      <c r="N138" s="502">
        <v>491</v>
      </c>
      <c r="O138" s="1837"/>
      <c r="P138" s="1837"/>
      <c r="Q138" s="1837"/>
      <c r="R138" s="1837"/>
      <c r="S138" s="1838"/>
    </row>
    <row r="139" spans="1:19" s="1379" customFormat="1" ht="15" customHeight="1" x14ac:dyDescent="0.2">
      <c r="A139" s="1819" t="s">
        <v>313</v>
      </c>
      <c r="B139" s="1820"/>
      <c r="C139" s="1820"/>
      <c r="D139" s="1820"/>
      <c r="E139" s="1820"/>
      <c r="F139" s="1376" t="str">
        <f>IF($E$6=0,"",('財務諸表（入力）'!E185/'財務諸表（入力）'!E179)/12)</f>
        <v/>
      </c>
      <c r="G139" s="1376" t="str">
        <f>IF($F$6=0,"",('財務諸表（入力）'!G185/'財務諸表（入力）'!G179)/12)</f>
        <v/>
      </c>
      <c r="H139" s="1376" t="str">
        <f t="shared" si="18"/>
        <v/>
      </c>
      <c r="I139" s="1376" t="str">
        <f>IF($G$6=0,"",('財務諸表（入力）'!J185/'財務諸表（入力）'!J179)/12)</f>
        <v/>
      </c>
      <c r="J139" s="1883" t="str">
        <f t="shared" si="20"/>
        <v/>
      </c>
      <c r="K139" s="1884"/>
      <c r="L139" s="1377"/>
      <c r="M139" s="1376" t="str">
        <f t="shared" si="15"/>
        <v/>
      </c>
      <c r="N139" s="1378">
        <v>337</v>
      </c>
      <c r="O139" s="1837"/>
      <c r="P139" s="1837"/>
      <c r="Q139" s="1837"/>
      <c r="R139" s="1837"/>
      <c r="S139" s="1838"/>
    </row>
    <row r="140" spans="1:19" ht="15" customHeight="1" x14ac:dyDescent="0.2">
      <c r="A140" s="1629" t="s">
        <v>348</v>
      </c>
      <c r="B140" s="1630"/>
      <c r="C140" s="1630"/>
      <c r="D140" s="1630"/>
      <c r="E140" s="1630"/>
      <c r="F140" s="418" t="str">
        <f>IF($E$6=0,"",('財務諸表（入力）'!E185/経営分析シート!E8))</f>
        <v/>
      </c>
      <c r="G140" s="418" t="str">
        <f>IF($E$6=0,"",('財務諸表（入力）'!G185/経営分析シート!F8))</f>
        <v/>
      </c>
      <c r="H140" s="439" t="str">
        <f t="shared" si="18"/>
        <v/>
      </c>
      <c r="I140" s="418" t="str">
        <f>IF($E$6=0,"",('財務諸表（入力）'!J185/経営分析シート!G8))</f>
        <v/>
      </c>
      <c r="J140" s="1742" t="str">
        <f t="shared" si="20"/>
        <v/>
      </c>
      <c r="K140" s="1743"/>
      <c r="L140"/>
      <c r="M140" s="418" t="str">
        <f t="shared" si="15"/>
        <v/>
      </c>
      <c r="N140" s="501">
        <v>0.68700000000000006</v>
      </c>
      <c r="O140" s="1837"/>
      <c r="P140" s="1837"/>
      <c r="Q140" s="1837"/>
      <c r="R140" s="1837"/>
      <c r="S140" s="1838"/>
    </row>
    <row r="141" spans="1:19" ht="15" customHeight="1" x14ac:dyDescent="0.2">
      <c r="A141" s="1629" t="s">
        <v>314</v>
      </c>
      <c r="B141" s="1630"/>
      <c r="C141" s="1630"/>
      <c r="D141" s="1630"/>
      <c r="E141" s="1630"/>
      <c r="F141" s="450" t="str">
        <f>IF($E$6=0,"",('財務諸表（入力）'!E50/'財務諸表（入力）'!E179))</f>
        <v/>
      </c>
      <c r="G141" s="450" t="str">
        <f>IF($E$6=0,"",('財務諸表（入力）'!G50/'財務諸表（入力）'!G179))</f>
        <v/>
      </c>
      <c r="H141" s="451" t="str">
        <f t="shared" si="18"/>
        <v/>
      </c>
      <c r="I141" s="450" t="str">
        <f>IF($E$6=0,"",('財務諸表（入力）'!J50/'財務諸表（入力）'!J179))</f>
        <v/>
      </c>
      <c r="J141" s="1828" t="str">
        <f t="shared" si="20"/>
        <v/>
      </c>
      <c r="K141" s="1829"/>
      <c r="L141"/>
      <c r="M141" s="450" t="str">
        <f t="shared" si="15"/>
        <v/>
      </c>
      <c r="N141" s="502">
        <v>9389</v>
      </c>
      <c r="O141" s="1837"/>
      <c r="P141" s="1837"/>
      <c r="Q141" s="1837"/>
      <c r="R141" s="1837"/>
      <c r="S141" s="1838"/>
    </row>
    <row r="142" spans="1:19" ht="15" customHeight="1" x14ac:dyDescent="0.2">
      <c r="A142" s="1629" t="s">
        <v>315</v>
      </c>
      <c r="B142" s="1630"/>
      <c r="C142" s="1630"/>
      <c r="D142" s="1630"/>
      <c r="E142" s="1630"/>
      <c r="F142" s="450" t="str">
        <f>IF($E$6=0,"",('財務諸表（入力）'!E37/'財務諸表（入力）'!E179))</f>
        <v/>
      </c>
      <c r="G142" s="450" t="str">
        <f>IF($E$6=0,"",('財務諸表（入力）'!G37/'財務諸表（入力）'!G179))</f>
        <v/>
      </c>
      <c r="H142" s="451" t="str">
        <f t="shared" si="18"/>
        <v/>
      </c>
      <c r="I142" s="450" t="str">
        <f>IF($E$6=0,"",('財務諸表（入力）'!J37/'財務諸表（入力）'!J179))</f>
        <v/>
      </c>
      <c r="J142" s="1828" t="str">
        <f t="shared" si="20"/>
        <v/>
      </c>
      <c r="K142" s="1829"/>
      <c r="L142"/>
      <c r="M142" s="450" t="str">
        <f t="shared" si="15"/>
        <v/>
      </c>
      <c r="N142" s="502">
        <v>2676</v>
      </c>
      <c r="O142" s="1837"/>
      <c r="P142" s="1837"/>
      <c r="Q142" s="1837"/>
      <c r="R142" s="1837"/>
      <c r="S142" s="1838"/>
    </row>
    <row r="143" spans="1:19" ht="15" customHeight="1" x14ac:dyDescent="0.2">
      <c r="A143" s="1629" t="s">
        <v>346</v>
      </c>
      <c r="B143" s="1630"/>
      <c r="C143" s="1630"/>
      <c r="D143" s="1630"/>
      <c r="E143" s="1630"/>
      <c r="F143" s="418" t="str">
        <f>IF($E$6=0,"",('財務諸表（入力）'!E181/'財務諸表（入力）'!E37))</f>
        <v/>
      </c>
      <c r="G143" s="418" t="str">
        <f>IF($E$6=0,"",('財務諸表（入力）'!G181/'財務諸表（入力）'!G37))</f>
        <v/>
      </c>
      <c r="H143" s="439" t="str">
        <f t="shared" si="18"/>
        <v/>
      </c>
      <c r="I143" s="418" t="str">
        <f>IF($E$6=0,"",('財務諸表（入力）'!J181/'財務諸表（入力）'!J37))</f>
        <v/>
      </c>
      <c r="J143" s="1742" t="str">
        <f t="shared" si="20"/>
        <v/>
      </c>
      <c r="K143" s="1879"/>
      <c r="L143"/>
      <c r="M143" s="418" t="str">
        <f t="shared" si="15"/>
        <v/>
      </c>
      <c r="N143" s="501">
        <v>2.2029999999999998</v>
      </c>
      <c r="O143" s="1837"/>
      <c r="P143" s="1837"/>
      <c r="Q143" s="1837"/>
      <c r="R143" s="1837"/>
      <c r="S143" s="1838"/>
    </row>
    <row r="144" spans="1:19" ht="15" customHeight="1" thickBot="1" x14ac:dyDescent="0.25">
      <c r="A144" s="1631" t="s">
        <v>316</v>
      </c>
      <c r="B144" s="1632"/>
      <c r="C144" s="1632"/>
      <c r="D144" s="1632"/>
      <c r="E144" s="1632"/>
      <c r="F144" s="452" t="str">
        <f>IF($E$6=0,"",('財務諸表（入力）'!E166/'財務諸表（入力）'!E179)/12)</f>
        <v/>
      </c>
      <c r="G144" s="452" t="str">
        <f>IF($E$6=0,"",('財務諸表（入力）'!G166/'財務諸表（入力）'!G179)/12)</f>
        <v/>
      </c>
      <c r="H144" s="453" t="str">
        <f t="shared" si="18"/>
        <v/>
      </c>
      <c r="I144" s="452" t="str">
        <f>IF($E$6=0,"",('財務諸表（入力）'!J166/'財務諸表（入力）'!J179)/12)</f>
        <v/>
      </c>
      <c r="J144" s="1847" t="str">
        <f t="shared" si="20"/>
        <v/>
      </c>
      <c r="K144" s="1880"/>
      <c r="L144"/>
      <c r="M144" s="452" t="str">
        <f t="shared" si="15"/>
        <v/>
      </c>
      <c r="N144" s="503">
        <v>43</v>
      </c>
      <c r="O144" s="1840"/>
      <c r="P144" s="1840"/>
      <c r="Q144" s="1840"/>
      <c r="R144" s="1840"/>
      <c r="S144" s="1841"/>
    </row>
    <row r="145" spans="1:19" ht="15" customHeight="1" thickBot="1" x14ac:dyDescent="0.25">
      <c r="A145" s="1666" t="s">
        <v>328</v>
      </c>
      <c r="B145" s="1523"/>
      <c r="C145" s="1523"/>
      <c r="D145" s="1523"/>
      <c r="E145" s="1523"/>
      <c r="F145" s="282"/>
      <c r="G145" s="282"/>
      <c r="H145" s="282"/>
      <c r="I145" s="282"/>
      <c r="J145" s="454"/>
      <c r="K145" s="455"/>
      <c r="L145"/>
      <c r="M145" s="282"/>
      <c r="N145" s="472"/>
      <c r="O145" s="871"/>
      <c r="P145" s="871"/>
      <c r="Q145" s="871"/>
      <c r="R145" s="871"/>
      <c r="S145" s="871"/>
    </row>
    <row r="146" spans="1:19" ht="15" customHeight="1" x14ac:dyDescent="0.2">
      <c r="A146" s="1555" t="s">
        <v>317</v>
      </c>
      <c r="B146" s="1556"/>
      <c r="C146" s="1556"/>
      <c r="D146" s="1556"/>
      <c r="E146" s="1556"/>
      <c r="F146" s="327" t="str">
        <f>IF($E$6=0,"",('財務諸表（入力）'!E28/'財務諸表（入力）'!E61))</f>
        <v/>
      </c>
      <c r="G146" s="327" t="str">
        <f>IF($E$6=0,"",('財務諸表（入力）'!G28/'財務諸表（入力）'!G61))</f>
        <v/>
      </c>
      <c r="H146" s="438" t="str">
        <f t="shared" ref="H146:H154" si="21">IF($E$6=0,"",G146-F146)</f>
        <v/>
      </c>
      <c r="I146" s="327" t="str">
        <f>IF($E$6=0,"",('財務諸表（入力）'!J28/'財務諸表（入力）'!J61))</f>
        <v/>
      </c>
      <c r="J146" s="1690" t="str">
        <f t="shared" ref="J146:J154" si="22">IF($E$6=0,"",I146-G146)</f>
        <v/>
      </c>
      <c r="K146" s="1832"/>
      <c r="L146"/>
      <c r="M146" s="327" t="str">
        <f t="shared" si="15"/>
        <v/>
      </c>
      <c r="N146" s="504">
        <v>2.7469999999999999</v>
      </c>
      <c r="O146" s="1835"/>
      <c r="P146" s="1835"/>
      <c r="Q146" s="1835"/>
      <c r="R146" s="1835"/>
      <c r="S146" s="1836"/>
    </row>
    <row r="147" spans="1:19" ht="15" customHeight="1" x14ac:dyDescent="0.2">
      <c r="A147" s="1553" t="s">
        <v>318</v>
      </c>
      <c r="B147" s="1554"/>
      <c r="C147" s="1554"/>
      <c r="D147" s="1554"/>
      <c r="E147" s="1554"/>
      <c r="F147" s="418" t="str">
        <f>IF($E$6=0,"",('財務諸表（入力）'!E11/'財務諸表（入力）'!E61))</f>
        <v/>
      </c>
      <c r="G147" s="418" t="str">
        <f>IF($E$6=0,"",('財務諸表（入力）'!G11/'財務諸表（入力）'!G61))</f>
        <v/>
      </c>
      <c r="H147" s="439" t="str">
        <f t="shared" si="21"/>
        <v/>
      </c>
      <c r="I147" s="418" t="str">
        <f>IF($E$6=0,"",('財務諸表（入力）'!J11/'財務諸表（入力）'!J61))</f>
        <v/>
      </c>
      <c r="J147" s="1742" t="str">
        <f t="shared" si="22"/>
        <v/>
      </c>
      <c r="K147" s="1827"/>
      <c r="L147"/>
      <c r="M147" s="418" t="str">
        <f t="shared" si="15"/>
        <v/>
      </c>
      <c r="N147" s="501">
        <v>2.3759999999999999</v>
      </c>
      <c r="O147" s="1837"/>
      <c r="P147" s="1837"/>
      <c r="Q147" s="1837"/>
      <c r="R147" s="1837"/>
      <c r="S147" s="1838"/>
    </row>
    <row r="148" spans="1:19" ht="15" customHeight="1" x14ac:dyDescent="0.2">
      <c r="A148" s="1553" t="s">
        <v>319</v>
      </c>
      <c r="B148" s="1554"/>
      <c r="C148" s="1554"/>
      <c r="D148" s="1554"/>
      <c r="E148" s="1554"/>
      <c r="F148" s="418" t="str">
        <f>IF($E$6=0,"",('財務諸表（入力）'!E6/'財務諸表（入力）'!E184))</f>
        <v/>
      </c>
      <c r="G148" s="418" t="str">
        <f>IF($E$6=0,"",('財務諸表（入力）'!G6/'財務諸表（入力）'!G184))</f>
        <v/>
      </c>
      <c r="H148" s="439" t="str">
        <f t="shared" si="21"/>
        <v/>
      </c>
      <c r="I148" s="418" t="str">
        <f>IF($E$6=0,"",('財務諸表（入力）'!J6/'財務諸表（入力）'!J184))</f>
        <v/>
      </c>
      <c r="J148" s="1742" t="str">
        <f t="shared" si="22"/>
        <v/>
      </c>
      <c r="K148" s="1827"/>
      <c r="L148"/>
      <c r="M148" s="418" t="str">
        <f t="shared" si="15"/>
        <v/>
      </c>
      <c r="N148" s="501">
        <v>1.0960000000000001</v>
      </c>
      <c r="O148" s="1837"/>
      <c r="P148" s="1837"/>
      <c r="Q148" s="1837"/>
      <c r="R148" s="1837"/>
      <c r="S148" s="1838"/>
    </row>
    <row r="149" spans="1:19" ht="15" customHeight="1" x14ac:dyDescent="0.2">
      <c r="A149" s="1553" t="s">
        <v>320</v>
      </c>
      <c r="B149" s="1554"/>
      <c r="C149" s="1554"/>
      <c r="D149" s="1554"/>
      <c r="E149" s="1554"/>
      <c r="F149" s="456" t="str">
        <f>IF($E$6=0,"",('財務諸表（入力）'!E184/('財務諸表（入力）'!E129/12)))</f>
        <v/>
      </c>
      <c r="G149" s="456" t="str">
        <f>IF($E$6=0,"",('財務諸表（入力）'!G184/('財務諸表（入力）'!G129/12)))</f>
        <v/>
      </c>
      <c r="H149" s="457" t="str">
        <f t="shared" si="21"/>
        <v/>
      </c>
      <c r="I149" s="456" t="str">
        <f>IF($E$6=0,"",('財務諸表（入力）'!J184/('財務諸表（入力）'!J129/12)))</f>
        <v/>
      </c>
      <c r="J149" s="1833" t="str">
        <f t="shared" si="22"/>
        <v/>
      </c>
      <c r="K149" s="1834"/>
      <c r="L149"/>
      <c r="M149" s="456" t="str">
        <f t="shared" si="15"/>
        <v/>
      </c>
      <c r="N149" s="505">
        <v>3</v>
      </c>
      <c r="O149" s="1837"/>
      <c r="P149" s="1837"/>
      <c r="Q149" s="1837"/>
      <c r="R149" s="1837"/>
      <c r="S149" s="1838"/>
    </row>
    <row r="150" spans="1:19" ht="15" customHeight="1" x14ac:dyDescent="0.2">
      <c r="A150" s="1553" t="s">
        <v>321</v>
      </c>
      <c r="B150" s="1554"/>
      <c r="C150" s="1554"/>
      <c r="D150" s="1554"/>
      <c r="E150" s="1554"/>
      <c r="F150" s="418" t="str">
        <f>IF($E$6=0,"",('財務諸表（入力）'!E49/'財務諸表（入力）'!E79))</f>
        <v/>
      </c>
      <c r="G150" s="418" t="str">
        <f>IF($E$6=0,"",('財務諸表（入力）'!G49/'財務諸表（入力）'!G79))</f>
        <v/>
      </c>
      <c r="H150" s="439" t="str">
        <f t="shared" si="21"/>
        <v/>
      </c>
      <c r="I150" s="418" t="str">
        <f>IF($E$6=0,"",('財務諸表（入力）'!J49/'財務諸表（入力）'!J79))</f>
        <v/>
      </c>
      <c r="J150" s="1742" t="str">
        <f t="shared" si="22"/>
        <v/>
      </c>
      <c r="K150" s="1827"/>
      <c r="L150"/>
      <c r="M150" s="418" t="str">
        <f t="shared" si="15"/>
        <v/>
      </c>
      <c r="N150" s="501">
        <v>0.76800000000000002</v>
      </c>
      <c r="O150" s="1837"/>
      <c r="P150" s="1837"/>
      <c r="Q150" s="1837"/>
      <c r="R150" s="1837"/>
      <c r="S150" s="1838"/>
    </row>
    <row r="151" spans="1:19" ht="15" customHeight="1" x14ac:dyDescent="0.2">
      <c r="A151" s="1553" t="s">
        <v>322</v>
      </c>
      <c r="B151" s="1554"/>
      <c r="C151" s="1554"/>
      <c r="D151" s="1554"/>
      <c r="E151" s="1554"/>
      <c r="F151" s="418" t="str">
        <f>IF($E$6=0,"",('財務諸表（入力）'!E49/('財務諸表（入力）'!E69+'財務諸表（入力）'!E79)))</f>
        <v/>
      </c>
      <c r="G151" s="418" t="str">
        <f>IF($E$6=0,"",('財務諸表（入力）'!G49/('財務諸表（入力）'!G69+'財務諸表（入力）'!G79)))</f>
        <v/>
      </c>
      <c r="H151" s="439" t="str">
        <f t="shared" si="21"/>
        <v/>
      </c>
      <c r="I151" s="418" t="str">
        <f>IF($E$6=0,"",('財務諸表（入力）'!J49/('財務諸表（入力）'!J69+'財務諸表（入力）'!J79)))</f>
        <v/>
      </c>
      <c r="J151" s="1742" t="str">
        <f t="shared" si="22"/>
        <v/>
      </c>
      <c r="K151" s="1827"/>
      <c r="L151"/>
      <c r="M151" s="418" t="str">
        <f t="shared" si="15"/>
        <v/>
      </c>
      <c r="N151" s="501">
        <v>0.50700000000000001</v>
      </c>
      <c r="O151" s="1837"/>
      <c r="P151" s="1837"/>
      <c r="Q151" s="1837"/>
      <c r="R151" s="1837"/>
      <c r="S151" s="1838"/>
    </row>
    <row r="152" spans="1:19" ht="15" customHeight="1" x14ac:dyDescent="0.2">
      <c r="A152" s="1638" t="s">
        <v>323</v>
      </c>
      <c r="B152" s="1633"/>
      <c r="C152" s="1633"/>
      <c r="D152" s="1633"/>
      <c r="E152" s="1633"/>
      <c r="F152" s="418" t="str">
        <f>IF($E$6=0,"",('財務諸表（入力）'!E79/'財務諸表（入力）'!E80))</f>
        <v/>
      </c>
      <c r="G152" s="418" t="str">
        <f>IF($E$6=0,"",('財務諸表（入力）'!G79/'財務諸表（入力）'!G80))</f>
        <v/>
      </c>
      <c r="H152" s="439" t="str">
        <f t="shared" si="21"/>
        <v/>
      </c>
      <c r="I152" s="418" t="str">
        <f>IF($E$6=0,"",('財務諸表（入力）'!J79/'財務諸表（入力）'!J80))</f>
        <v/>
      </c>
      <c r="J152" s="1742" t="str">
        <f t="shared" si="22"/>
        <v/>
      </c>
      <c r="K152" s="1827"/>
      <c r="L152"/>
      <c r="M152" s="418" t="str">
        <f t="shared" si="15"/>
        <v/>
      </c>
      <c r="N152" s="1303">
        <v>0.51500000000000001</v>
      </c>
      <c r="O152" s="1837"/>
      <c r="P152" s="1837"/>
      <c r="Q152" s="1837"/>
      <c r="R152" s="1837"/>
      <c r="S152" s="1838"/>
    </row>
    <row r="153" spans="1:19" ht="15" customHeight="1" x14ac:dyDescent="0.2">
      <c r="A153" s="1638" t="s">
        <v>324</v>
      </c>
      <c r="B153" s="1633"/>
      <c r="C153" s="1633"/>
      <c r="D153" s="1633"/>
      <c r="E153" s="1633"/>
      <c r="F153" s="458" t="s">
        <v>379</v>
      </c>
      <c r="G153" s="418" t="e">
        <f>資金移動表!G32</f>
        <v>#DIV/0!</v>
      </c>
      <c r="H153" s="459" t="s">
        <v>380</v>
      </c>
      <c r="I153" s="418" t="e">
        <f>資金移動表!O32</f>
        <v>#DIV/0!</v>
      </c>
      <c r="J153" s="1742" t="str">
        <f t="shared" si="22"/>
        <v/>
      </c>
      <c r="K153" s="1827"/>
      <c r="L153"/>
      <c r="M153" s="418" t="e">
        <f t="shared" si="15"/>
        <v>#DIV/0!</v>
      </c>
      <c r="N153" s="501">
        <v>1.077</v>
      </c>
      <c r="O153" s="1837"/>
      <c r="P153" s="1837"/>
      <c r="Q153" s="1837"/>
      <c r="R153" s="1837"/>
      <c r="S153" s="1838"/>
    </row>
    <row r="154" spans="1:19" ht="15" customHeight="1" thickBot="1" x14ac:dyDescent="0.25">
      <c r="A154" s="1639" t="s">
        <v>325</v>
      </c>
      <c r="B154" s="1608"/>
      <c r="C154" s="1608"/>
      <c r="D154" s="1608"/>
      <c r="E154" s="1608"/>
      <c r="F154" s="443" t="str">
        <f>IF($E$6=0,"",(('財務諸表（入力）'!E163-'財務諸表（入力）'!E158)/('財務諸表（入力）'!E184+'財務諸表（入力）'!E7)))</f>
        <v/>
      </c>
      <c r="G154" s="443" t="str">
        <f>IF($E$6=0,"",(('財務諸表（入力）'!G163-'財務諸表（入力）'!G158)/('財務諸表（入力）'!G184+'財務諸表（入力）'!G7)))</f>
        <v/>
      </c>
      <c r="H154" s="444" t="str">
        <f t="shared" si="21"/>
        <v/>
      </c>
      <c r="I154" s="443" t="str">
        <f>IF($E$6=0,"",(('財務諸表（入力）'!J163-'財務諸表（入力）'!J158)/('財務諸表（入力）'!J184+'財務諸表（入力）'!J7)))</f>
        <v/>
      </c>
      <c r="J154" s="1830" t="str">
        <f t="shared" si="22"/>
        <v/>
      </c>
      <c r="K154" s="1878"/>
      <c r="L154"/>
      <c r="M154" s="443" t="str">
        <f t="shared" si="15"/>
        <v/>
      </c>
      <c r="N154" s="966">
        <v>2.5000000000000001E-2</v>
      </c>
      <c r="O154" s="1840"/>
      <c r="P154" s="1840"/>
      <c r="Q154" s="1840"/>
      <c r="R154" s="1840"/>
      <c r="S154" s="1841"/>
    </row>
    <row r="155" spans="1:19" ht="15" customHeight="1" thickBot="1" x14ac:dyDescent="0.25">
      <c r="A155" s="1665" t="s">
        <v>329</v>
      </c>
      <c r="B155" s="1627"/>
      <c r="C155" s="1627"/>
      <c r="D155" s="1627"/>
      <c r="E155" s="1627"/>
      <c r="F155" s="445"/>
      <c r="G155" s="445"/>
      <c r="H155" s="445"/>
      <c r="I155" s="445"/>
      <c r="J155" s="446"/>
      <c r="K155" s="447"/>
      <c r="L155"/>
      <c r="M155" s="445"/>
      <c r="O155" s="871"/>
      <c r="P155" s="871"/>
      <c r="Q155" s="871"/>
      <c r="R155" s="871"/>
      <c r="S155" s="871"/>
    </row>
    <row r="156" spans="1:19" ht="15" customHeight="1" x14ac:dyDescent="0.2">
      <c r="A156" s="1556" t="s">
        <v>343</v>
      </c>
      <c r="B156" s="1556"/>
      <c r="C156" s="1556"/>
      <c r="D156" s="1556"/>
      <c r="E156" s="1556"/>
      <c r="F156" s="327" t="str">
        <f>IF($E$6=0,"",('財務諸表（入力）'!E184/'財務諸表（入力）'!E79))</f>
        <v/>
      </c>
      <c r="G156" s="327" t="str">
        <f>IF($E$6=0,"",('財務諸表（入力）'!G184/'財務諸表（入力）'!G79))</f>
        <v/>
      </c>
      <c r="H156" s="438" t="str">
        <f>IF($E$6=0,"",G156-F156)</f>
        <v/>
      </c>
      <c r="I156" s="327" t="str">
        <f>IF($E$6=0,"",('財務諸表（入力）'!J184/'財務諸表（入力）'!J79))</f>
        <v/>
      </c>
      <c r="J156" s="1690" t="str">
        <f>IF($E$6=0,"",I156-G156)</f>
        <v/>
      </c>
      <c r="K156" s="1832"/>
      <c r="L156"/>
      <c r="M156" s="327" t="str">
        <f t="shared" si="15"/>
        <v/>
      </c>
      <c r="N156" s="507">
        <v>0.54900000000000004</v>
      </c>
      <c r="O156" s="1885"/>
      <c r="P156" s="1835"/>
      <c r="Q156" s="1835"/>
      <c r="R156" s="1835"/>
      <c r="S156" s="1836"/>
    </row>
    <row r="157" spans="1:19" ht="15" customHeight="1" x14ac:dyDescent="0.2">
      <c r="A157" s="1554" t="s">
        <v>326</v>
      </c>
      <c r="B157" s="1554"/>
      <c r="C157" s="1554"/>
      <c r="D157" s="1554"/>
      <c r="E157" s="1554"/>
      <c r="F157" s="450" t="str">
        <f>IF($E$6=0,"",'財務諸表（入力）'!E79)</f>
        <v/>
      </c>
      <c r="G157" s="450" t="str">
        <f>IF($E$6=0,"",'財務諸表（入力）'!G79)</f>
        <v/>
      </c>
      <c r="H157" s="451" t="str">
        <f>IF($E$6=0,"",G157-F157)</f>
        <v/>
      </c>
      <c r="I157" s="450" t="str">
        <f>IF($E$6=0,"",'財務諸表（入力）'!J79)</f>
        <v/>
      </c>
      <c r="J157" s="1828" t="str">
        <f>IF($E$6=0,"",I157-G157)</f>
        <v/>
      </c>
      <c r="K157" s="1842"/>
      <c r="L157"/>
      <c r="M157" s="450" t="str">
        <f t="shared" si="15"/>
        <v/>
      </c>
      <c r="N157" s="508">
        <v>324283</v>
      </c>
      <c r="O157" s="1839"/>
      <c r="P157" s="1837"/>
      <c r="Q157" s="1837"/>
      <c r="R157" s="1837"/>
      <c r="S157" s="1838"/>
    </row>
    <row r="158" spans="1:19" ht="15" customHeight="1" x14ac:dyDescent="0.2">
      <c r="A158" s="1633" t="s">
        <v>513</v>
      </c>
      <c r="B158" s="1633"/>
      <c r="C158" s="1633"/>
      <c r="D158" s="1633"/>
      <c r="E158" s="1633"/>
      <c r="F158" s="460" t="str">
        <f>IF($E$6=0,"",('財務諸表（入力）'!E184/('財務諸表（入力）'!E171+'財務諸表（入力）'!E182)))</f>
        <v/>
      </c>
      <c r="G158" s="460" t="str">
        <f>IF($E$6=0,"",('財務諸表（入力）'!G184/('財務諸表（入力）'!G171+'財務諸表（入力）'!G182)))</f>
        <v/>
      </c>
      <c r="H158" s="461" t="str">
        <f>IF($E$6=0,"",G158-F158)</f>
        <v/>
      </c>
      <c r="I158" s="460" t="str">
        <f>IF($E$6=0,"",('財務諸表（入力）'!J184/('財務諸表（入力）'!J171+'財務諸表（入力）'!J182)))</f>
        <v/>
      </c>
      <c r="J158" s="1843" t="str">
        <f>IF($E$6=0,"",I158-G158)</f>
        <v/>
      </c>
      <c r="K158" s="1844"/>
      <c r="L158"/>
      <c r="M158" s="460" t="str">
        <f t="shared" si="15"/>
        <v/>
      </c>
      <c r="N158" s="509"/>
      <c r="O158" s="1839"/>
      <c r="P158" s="1837"/>
      <c r="Q158" s="1837"/>
      <c r="R158" s="1837"/>
      <c r="S158" s="1838"/>
    </row>
    <row r="159" spans="1:19" ht="15" customHeight="1" x14ac:dyDescent="0.2">
      <c r="A159" s="1634" t="s">
        <v>344</v>
      </c>
      <c r="B159" s="1554"/>
      <c r="C159" s="1554"/>
      <c r="D159" s="1554"/>
      <c r="E159" s="1554"/>
      <c r="F159" s="462" t="str">
        <f>IF($E$6=0,"",(('財務諸表（入力）'!E157+'財務諸表（入力）'!E158)/'財務諸表（入力）'!E163))</f>
        <v/>
      </c>
      <c r="G159" s="462" t="str">
        <f>IF($E$6=0,"",(('財務諸表（入力）'!G157+'財務諸表（入力）'!G158)/'財務諸表（入力）'!G163))</f>
        <v/>
      </c>
      <c r="H159" s="463" t="str">
        <f>IF($E$6=0,"",G159-F159)</f>
        <v/>
      </c>
      <c r="I159" s="462" t="str">
        <f>IF($E$6=0,"",(('財務諸表（入力）'!G157+'財務諸表（入力）'!G158)/'財務諸表（入力）'!G163))</f>
        <v/>
      </c>
      <c r="J159" s="1845" t="str">
        <f>IF($E$6=0,"",I159-G159)</f>
        <v/>
      </c>
      <c r="K159" s="1846"/>
      <c r="L159"/>
      <c r="M159" s="462" t="str">
        <f t="shared" si="15"/>
        <v/>
      </c>
      <c r="N159" s="510">
        <v>8.8000000000000007</v>
      </c>
      <c r="O159" s="1839"/>
      <c r="P159" s="1837"/>
      <c r="Q159" s="1837"/>
      <c r="R159" s="1837"/>
      <c r="S159" s="1838"/>
    </row>
    <row r="160" spans="1:19" ht="15" customHeight="1" thickBot="1" x14ac:dyDescent="0.25">
      <c r="A160" s="1519" t="s">
        <v>327</v>
      </c>
      <c r="B160" s="1519"/>
      <c r="C160" s="1519"/>
      <c r="D160" s="1519"/>
      <c r="E160" s="1519"/>
      <c r="F160" s="452" t="str">
        <f>IF($E$6=0,"",('財務諸表（入力）'!E157+'財務諸表（入力）'!E182))</f>
        <v/>
      </c>
      <c r="G160" s="452" t="str">
        <f>IF($E$6=0,"",('財務諸表（入力）'!G157+'財務諸表（入力）'!G182))</f>
        <v/>
      </c>
      <c r="H160" s="453" t="str">
        <f>IF($E$6=0,"",G160-F160)</f>
        <v/>
      </c>
      <c r="I160" s="452" t="str">
        <f>IF($E$6=0,"",('財務諸表（入力）'!J157+'財務諸表（入力）'!J182))</f>
        <v/>
      </c>
      <c r="J160" s="1847" t="str">
        <f>IF($E$6=0,"",I160-G160)</f>
        <v/>
      </c>
      <c r="K160" s="1848"/>
      <c r="L160"/>
      <c r="M160" s="452" t="str">
        <f t="shared" si="15"/>
        <v/>
      </c>
      <c r="N160" s="511">
        <v>54916</v>
      </c>
      <c r="O160" s="1886"/>
      <c r="P160" s="1840"/>
      <c r="Q160" s="1840"/>
      <c r="R160" s="1840"/>
      <c r="S160" s="1841"/>
    </row>
    <row r="161" spans="1:19" ht="15" customHeight="1" thickBot="1" x14ac:dyDescent="0.25">
      <c r="A161" s="1666" t="s">
        <v>330</v>
      </c>
      <c r="B161" s="1523"/>
      <c r="C161" s="1523"/>
      <c r="D161" s="1523"/>
      <c r="E161" s="1523"/>
      <c r="F161" s="282"/>
      <c r="G161" s="282"/>
      <c r="H161" s="282"/>
      <c r="I161" s="282"/>
      <c r="J161" s="454"/>
      <c r="K161" s="455"/>
      <c r="L161"/>
      <c r="M161" s="472" t="s">
        <v>514</v>
      </c>
      <c r="O161" s="871"/>
      <c r="P161" s="871"/>
      <c r="Q161" s="871"/>
      <c r="R161" s="871"/>
      <c r="S161" s="871"/>
    </row>
    <row r="162" spans="1:19" ht="15" customHeight="1" x14ac:dyDescent="0.2">
      <c r="A162" s="1556" t="s">
        <v>331</v>
      </c>
      <c r="B162" s="1556"/>
      <c r="C162" s="1556"/>
      <c r="D162" s="1556"/>
      <c r="E162" s="1556"/>
      <c r="F162" s="464" t="s">
        <v>341</v>
      </c>
      <c r="G162" s="327" t="str">
        <f>IF(E$6=0,"",'財務諸表（入力）'!M129/'財務諸表（入力）'!E129+1)</f>
        <v/>
      </c>
      <c r="H162" s="465" t="s">
        <v>231</v>
      </c>
      <c r="I162" s="327" t="str">
        <f>IF(F$6=0,"",'財務諸表（入力）'!N129/'財務諸表（入力）'!G129+1)</f>
        <v/>
      </c>
      <c r="J162" s="1849" t="str">
        <f>IF($E$6=0,"",I162-G162)</f>
        <v/>
      </c>
      <c r="K162" s="1850"/>
      <c r="L162"/>
      <c r="M162" s="327" t="str">
        <f t="shared" si="15"/>
        <v/>
      </c>
      <c r="N162" s="504">
        <v>1.0189999999999999</v>
      </c>
      <c r="O162" s="1835"/>
      <c r="P162" s="1835"/>
      <c r="Q162" s="1835"/>
      <c r="R162" s="1835"/>
      <c r="S162" s="1836"/>
    </row>
    <row r="163" spans="1:19" ht="15" customHeight="1" thickBot="1" x14ac:dyDescent="0.25">
      <c r="A163" s="1519" t="s">
        <v>332</v>
      </c>
      <c r="B163" s="1519"/>
      <c r="C163" s="1519"/>
      <c r="D163" s="1519"/>
      <c r="E163" s="1519"/>
      <c r="F163" s="466" t="s">
        <v>341</v>
      </c>
      <c r="G163" s="452" t="str">
        <f>IF(E$6=0,"",'財務諸表（入力）'!M166)</f>
        <v/>
      </c>
      <c r="H163" s="467" t="s">
        <v>231</v>
      </c>
      <c r="I163" s="452" t="str">
        <f>IF(F$6=0,"",'財務諸表（入力）'!N166)</f>
        <v/>
      </c>
      <c r="J163" s="1851" t="str">
        <f>IF($E$6=0,"",I163-G163)</f>
        <v/>
      </c>
      <c r="K163" s="1852"/>
      <c r="L163"/>
      <c r="M163" s="452" t="str">
        <f t="shared" si="15"/>
        <v/>
      </c>
      <c r="N163" s="503">
        <v>5892</v>
      </c>
      <c r="O163" s="1837"/>
      <c r="P163" s="1837"/>
      <c r="Q163" s="1837"/>
      <c r="R163" s="1837"/>
      <c r="S163" s="1838"/>
    </row>
    <row r="164" spans="1:19" ht="15" customHeight="1" thickBot="1" x14ac:dyDescent="0.25">
      <c r="A164" s="1666" t="s">
        <v>333</v>
      </c>
      <c r="B164" s="1523"/>
      <c r="C164" s="1523"/>
      <c r="D164" s="1523"/>
      <c r="E164" s="1523"/>
      <c r="F164" s="282"/>
      <c r="G164" s="282"/>
      <c r="H164" s="282"/>
      <c r="I164" s="282"/>
      <c r="J164" s="454"/>
      <c r="K164" s="455"/>
      <c r="L164"/>
      <c r="M164" s="282"/>
      <c r="O164" s="1839"/>
      <c r="P164" s="1837"/>
      <c r="Q164" s="1837"/>
      <c r="R164" s="1837"/>
      <c r="S164" s="1838"/>
    </row>
    <row r="165" spans="1:19" ht="15" customHeight="1" x14ac:dyDescent="0.2">
      <c r="A165" s="1556" t="s">
        <v>334</v>
      </c>
      <c r="B165" s="1556"/>
      <c r="C165" s="1556"/>
      <c r="D165" s="1556"/>
      <c r="E165" s="1556"/>
      <c r="F165" s="448" t="str">
        <f>IF($E$6=0,"",経営分析シート!E12/12)</f>
        <v/>
      </c>
      <c r="G165" s="448" t="str">
        <f>IF($E$6=0,"",経営分析シート!F12/12)</f>
        <v/>
      </c>
      <c r="H165" s="449" t="str">
        <f>IF($E$6=0,"",G165-F165)</f>
        <v/>
      </c>
      <c r="I165" s="448" t="str">
        <f>IF($E$6=0,"",経営分析シート!G12/12)</f>
        <v/>
      </c>
      <c r="J165" s="1853" t="str">
        <f>IF($E$6=0,"",I165-G165)</f>
        <v/>
      </c>
      <c r="K165" s="1854"/>
      <c r="L165"/>
      <c r="M165" s="448" t="str">
        <f t="shared" si="15"/>
        <v/>
      </c>
      <c r="N165" s="500">
        <v>55617</v>
      </c>
      <c r="O165" s="1837"/>
      <c r="P165" s="1837"/>
      <c r="Q165" s="1837"/>
      <c r="R165" s="1837"/>
      <c r="S165" s="1838"/>
    </row>
    <row r="166" spans="1:19" ht="15" customHeight="1" x14ac:dyDescent="0.2">
      <c r="A166" s="1554" t="s">
        <v>335</v>
      </c>
      <c r="B166" s="1554"/>
      <c r="C166" s="1554"/>
      <c r="D166" s="1554"/>
      <c r="E166" s="1554"/>
      <c r="F166" s="418" t="str">
        <f>IF($E$6=0,"",E14)</f>
        <v/>
      </c>
      <c r="G166" s="418" t="str">
        <f>IF($E$6=0,"",F14)</f>
        <v/>
      </c>
      <c r="H166" s="439" t="str">
        <f>IF($E$6=0,"",G166-F166)</f>
        <v/>
      </c>
      <c r="I166" s="418" t="str">
        <f>IF($E$6=0,"",G14)</f>
        <v/>
      </c>
      <c r="J166" s="1855" t="str">
        <f>IF($E$6=0,"",I166-G166)</f>
        <v/>
      </c>
      <c r="K166" s="1856"/>
      <c r="L166"/>
      <c r="M166" s="418" t="str">
        <f t="shared" si="15"/>
        <v/>
      </c>
      <c r="N166" s="501">
        <v>8.7999999999999995E-2</v>
      </c>
      <c r="O166" s="1837"/>
      <c r="P166" s="1837"/>
      <c r="Q166" s="1837"/>
      <c r="R166" s="1837"/>
      <c r="S166" s="1838"/>
    </row>
    <row r="167" spans="1:19" ht="15" customHeight="1" x14ac:dyDescent="0.2">
      <c r="A167" s="1554" t="s">
        <v>336</v>
      </c>
      <c r="B167" s="1554"/>
      <c r="C167" s="1554"/>
      <c r="D167" s="1554"/>
      <c r="E167" s="1554"/>
      <c r="F167" s="418" t="str">
        <f>IF($E$6=0,"",E9)</f>
        <v/>
      </c>
      <c r="G167" s="418" t="str">
        <f>IF($E$6=0,"",F9)</f>
        <v/>
      </c>
      <c r="H167" s="439" t="str">
        <f>IF($E$6=0,"",G167-F167)</f>
        <v/>
      </c>
      <c r="I167" s="418" t="str">
        <f>IF($E$6=0,"",G9)</f>
        <v/>
      </c>
      <c r="J167" s="1855" t="str">
        <f>IF($E$6=0,"",I167-G167)</f>
        <v/>
      </c>
      <c r="K167" s="1856"/>
      <c r="L167"/>
      <c r="M167" s="418" t="str">
        <f t="shared" si="15"/>
        <v/>
      </c>
      <c r="N167" s="501">
        <v>0.54</v>
      </c>
      <c r="O167" s="1837"/>
      <c r="P167" s="1837"/>
      <c r="Q167" s="1837"/>
      <c r="R167" s="1837"/>
      <c r="S167" s="1838"/>
    </row>
    <row r="168" spans="1:19" ht="15" customHeight="1" x14ac:dyDescent="0.2">
      <c r="A168" s="1554" t="s">
        <v>337</v>
      </c>
      <c r="B168" s="1554"/>
      <c r="C168" s="1554"/>
      <c r="D168" s="1554"/>
      <c r="E168" s="1554"/>
      <c r="F168" s="450" t="str">
        <f>IF($E$6=0,"",E10/12)</f>
        <v/>
      </c>
      <c r="G168" s="450" t="str">
        <f>IF($E$6=0,"",F10/12)</f>
        <v/>
      </c>
      <c r="H168" s="451" t="str">
        <f>IF($E$6=0,"",G168-F168)</f>
        <v/>
      </c>
      <c r="I168" s="450" t="str">
        <f>IF($E$6=0,"",G10/12)</f>
        <v/>
      </c>
      <c r="J168" s="1857" t="str">
        <f>IF($E$6=0,"",I168-G168)</f>
        <v/>
      </c>
      <c r="K168" s="1858"/>
      <c r="L168"/>
      <c r="M168" s="450" t="str">
        <f t="shared" si="15"/>
        <v/>
      </c>
      <c r="N168" s="502">
        <v>30043</v>
      </c>
      <c r="O168" s="1837"/>
      <c r="P168" s="1837"/>
      <c r="Q168" s="1837"/>
      <c r="R168" s="1837"/>
      <c r="S168" s="1838"/>
    </row>
    <row r="169" spans="1:19" ht="15" customHeight="1" thickBot="1" x14ac:dyDescent="0.25">
      <c r="A169" s="1519" t="s">
        <v>338</v>
      </c>
      <c r="B169" s="1519"/>
      <c r="C169" s="1519"/>
      <c r="D169" s="1519"/>
      <c r="E169" s="1519"/>
      <c r="F169" s="468" t="s">
        <v>341</v>
      </c>
      <c r="G169" s="328" t="str">
        <f>IF($E$6=0,"",J10)</f>
        <v/>
      </c>
      <c r="H169" s="469" t="s">
        <v>341</v>
      </c>
      <c r="I169" s="328" t="str">
        <f>IF($E$6=0,"",K10)</f>
        <v/>
      </c>
      <c r="J169" s="1867" t="str">
        <f>IF($E$6=0,"",I169-G169)</f>
        <v/>
      </c>
      <c r="K169" s="1868"/>
      <c r="L169"/>
      <c r="M169" s="328" t="str">
        <f t="shared" si="15"/>
        <v/>
      </c>
      <c r="N169" s="506">
        <v>1.0189999999999999</v>
      </c>
      <c r="O169" s="1840"/>
      <c r="P169" s="1840"/>
      <c r="Q169" s="1840"/>
      <c r="R169" s="1840"/>
      <c r="S169" s="1841"/>
    </row>
    <row r="170" spans="1:19" ht="32.25" customHeight="1" thickBot="1" x14ac:dyDescent="0.25">
      <c r="D170" s="470"/>
    </row>
    <row r="171" spans="1:19" ht="24" customHeight="1" thickBot="1" x14ac:dyDescent="0.25">
      <c r="A171" s="1635" t="s">
        <v>423</v>
      </c>
      <c r="B171" s="1636"/>
      <c r="C171" s="1636"/>
      <c r="D171" s="1636"/>
      <c r="E171" s="1636"/>
      <c r="F171" s="1637"/>
      <c r="G171" s="471" t="s">
        <v>570</v>
      </c>
      <c r="K171" s="408"/>
    </row>
    <row r="172" spans="1:19" ht="17.25" customHeight="1" x14ac:dyDescent="0.2">
      <c r="D172" s="470"/>
      <c r="E172" s="320"/>
      <c r="K172" s="408"/>
    </row>
    <row r="173" spans="1:19" ht="17.25" customHeight="1" x14ac:dyDescent="0.2">
      <c r="E173" s="472"/>
    </row>
    <row r="174" spans="1:19" ht="17.25" customHeight="1" x14ac:dyDescent="0.2">
      <c r="A174" s="97" t="s">
        <v>424</v>
      </c>
      <c r="E174" s="472"/>
      <c r="G174" s="4"/>
    </row>
    <row r="175" spans="1:19" ht="17.25" customHeight="1" x14ac:dyDescent="0.2">
      <c r="A175" s="97"/>
      <c r="E175" s="472"/>
      <c r="G175" s="106" t="s">
        <v>216</v>
      </c>
    </row>
    <row r="176" spans="1:19" ht="17.25" customHeight="1" x14ac:dyDescent="0.2">
      <c r="E176" s="473" t="str">
        <f t="shared" ref="E176:G178" si="23">E5</f>
        <v>前々期</v>
      </c>
      <c r="F176" s="473" t="str">
        <f t="shared" si="23"/>
        <v>前期</v>
      </c>
      <c r="G176" s="473" t="str">
        <f t="shared" si="23"/>
        <v>今期</v>
      </c>
    </row>
    <row r="177" spans="1:7" ht="18" customHeight="1" x14ac:dyDescent="0.2">
      <c r="A177" s="1621" t="s">
        <v>157</v>
      </c>
      <c r="B177" s="1622"/>
      <c r="C177" s="1622"/>
      <c r="D177" s="1605"/>
      <c r="E177" s="474">
        <f t="shared" si="23"/>
        <v>0</v>
      </c>
      <c r="F177" s="474">
        <f t="shared" si="23"/>
        <v>0</v>
      </c>
      <c r="G177" s="474">
        <f t="shared" si="23"/>
        <v>0</v>
      </c>
    </row>
    <row r="178" spans="1:7" ht="18" customHeight="1" x14ac:dyDescent="0.2">
      <c r="A178" s="1623" t="s">
        <v>357</v>
      </c>
      <c r="B178" s="1624"/>
      <c r="C178" s="1624"/>
      <c r="D178" s="1625"/>
      <c r="E178" s="475">
        <f t="shared" si="23"/>
        <v>0</v>
      </c>
      <c r="F178" s="475">
        <f t="shared" si="23"/>
        <v>0</v>
      </c>
      <c r="G178" s="475">
        <f t="shared" si="23"/>
        <v>0</v>
      </c>
    </row>
    <row r="179" spans="1:7" ht="18" customHeight="1" x14ac:dyDescent="0.2">
      <c r="A179" s="1626" t="s">
        <v>358</v>
      </c>
      <c r="B179" s="1627"/>
      <c r="C179" s="1627"/>
      <c r="D179" s="1628"/>
      <c r="E179" s="300">
        <f>E177-E178</f>
        <v>0</v>
      </c>
      <c r="F179" s="300">
        <f>F177-F178</f>
        <v>0</v>
      </c>
      <c r="G179" s="300">
        <f>G177-G178</f>
        <v>0</v>
      </c>
    </row>
    <row r="180" spans="1:7" ht="18" customHeight="1" x14ac:dyDescent="0.2">
      <c r="A180" s="1626" t="s">
        <v>363</v>
      </c>
      <c r="B180" s="1627"/>
      <c r="C180" s="1627"/>
      <c r="D180" s="1628"/>
      <c r="E180" s="476" t="e">
        <f>E179/E177</f>
        <v>#DIV/0!</v>
      </c>
      <c r="F180" s="476" t="e">
        <f>F179/F177</f>
        <v>#DIV/0!</v>
      </c>
      <c r="G180" s="476" t="e">
        <f>G179/G177</f>
        <v>#DIV/0!</v>
      </c>
    </row>
    <row r="181" spans="1:7" ht="18" customHeight="1" x14ac:dyDescent="0.2">
      <c r="A181" s="1621" t="s">
        <v>359</v>
      </c>
      <c r="B181" s="1622"/>
      <c r="C181" s="1622"/>
      <c r="D181" s="1605"/>
      <c r="E181" s="477">
        <f>E10</f>
        <v>0</v>
      </c>
      <c r="F181" s="478">
        <f>F10</f>
        <v>0</v>
      </c>
      <c r="G181" s="478">
        <f>G10</f>
        <v>0</v>
      </c>
    </row>
    <row r="182" spans="1:7" ht="18" customHeight="1" thickBot="1" x14ac:dyDescent="0.25">
      <c r="A182" s="1644" t="s">
        <v>469</v>
      </c>
      <c r="B182" s="1645"/>
      <c r="C182" s="1645"/>
      <c r="D182" s="1646"/>
      <c r="E182" s="479">
        <f>'財務諸表（入力）'!E182</f>
        <v>0</v>
      </c>
      <c r="F182" s="480">
        <f>'財務諸表（入力）'!G182</f>
        <v>0</v>
      </c>
      <c r="G182" s="480">
        <f>'財務諸表（入力）'!J182</f>
        <v>0</v>
      </c>
    </row>
    <row r="183" spans="1:7" ht="18" customHeight="1" thickTop="1" x14ac:dyDescent="0.2">
      <c r="A183" s="1647" t="s">
        <v>362</v>
      </c>
      <c r="B183" s="1648"/>
      <c r="C183" s="1648"/>
      <c r="D183" s="1649"/>
      <c r="E183" s="481">
        <f>E179-(E181-E182)</f>
        <v>0</v>
      </c>
      <c r="F183" s="481">
        <f>F179-(F181-F182)</f>
        <v>0</v>
      </c>
      <c r="G183" s="481">
        <f>G179-(G181-G182)</f>
        <v>0</v>
      </c>
    </row>
    <row r="184" spans="1:7" ht="18" customHeight="1" x14ac:dyDescent="0.2">
      <c r="D184" s="4"/>
      <c r="E184" s="482"/>
    </row>
    <row r="185" spans="1:7" ht="18" customHeight="1" x14ac:dyDescent="0.2">
      <c r="A185" s="1621" t="s">
        <v>365</v>
      </c>
      <c r="B185" s="1622"/>
      <c r="C185" s="1622"/>
      <c r="D185" s="1605"/>
      <c r="E185" s="521"/>
      <c r="F185" s="19"/>
      <c r="G185" s="19"/>
    </row>
    <row r="186" spans="1:7" ht="18" customHeight="1" x14ac:dyDescent="0.2">
      <c r="A186" s="1623" t="s">
        <v>360</v>
      </c>
      <c r="B186" s="1624"/>
      <c r="C186" s="1624"/>
      <c r="D186" s="1625"/>
      <c r="E186" s="522"/>
      <c r="F186" s="881"/>
      <c r="G186" s="881"/>
    </row>
    <row r="187" spans="1:7" ht="18" customHeight="1" x14ac:dyDescent="0.2">
      <c r="A187" s="880" t="s">
        <v>465</v>
      </c>
      <c r="D187" s="4"/>
      <c r="E187" s="483"/>
      <c r="F187" s="282"/>
      <c r="G187" s="282"/>
    </row>
    <row r="188" spans="1:7" ht="18" customHeight="1" x14ac:dyDescent="0.2">
      <c r="A188" s="1617" t="s">
        <v>484</v>
      </c>
      <c r="B188" s="1618"/>
      <c r="C188" s="1618"/>
      <c r="D188" s="1619"/>
      <c r="E188" s="474" t="e">
        <f>IF(E185-E182&lt;=0,(E181+(E185-E182))/E180,(E181+(E185-E182)/(1-E186))/E180)</f>
        <v>#DIV/0!</v>
      </c>
      <c r="F188" s="474" t="e">
        <f>IF(F185-F182&lt;=0,(F181+(F185-F182))/F180,(F181+(F185-F182)/(1-F186))/F180)</f>
        <v>#DIV/0!</v>
      </c>
      <c r="G188" s="474" t="e">
        <f>IF(G185-G182&lt;=0,(G181+(G185-G182))/G180,(G181+(G185-G182)/(1-G186))/G180)</f>
        <v>#DIV/0!</v>
      </c>
    </row>
    <row r="189" spans="1:7" ht="18" customHeight="1" x14ac:dyDescent="0.2">
      <c r="A189" s="1600" t="s">
        <v>485</v>
      </c>
      <c r="B189" s="1601"/>
      <c r="C189" s="1601"/>
      <c r="D189" s="1602"/>
      <c r="E189" s="484" t="e">
        <f>E188/E177</f>
        <v>#DIV/0!</v>
      </c>
      <c r="F189" s="484" t="e">
        <f>F188/F177</f>
        <v>#DIV/0!</v>
      </c>
      <c r="G189" s="484" t="e">
        <f>G188/G177</f>
        <v>#DIV/0!</v>
      </c>
    </row>
    <row r="190" spans="1:7" ht="18" customHeight="1" x14ac:dyDescent="0.2">
      <c r="A190" s="1658" t="s">
        <v>364</v>
      </c>
      <c r="B190" s="1659"/>
      <c r="C190" s="1659"/>
      <c r="D190" s="1660"/>
      <c r="E190" s="485">
        <f>(E179-E181)*(1-E186)+E182-E185</f>
        <v>0</v>
      </c>
      <c r="F190" s="485">
        <f>(F179-F181)*(1-F186)+F182-F185</f>
        <v>0</v>
      </c>
      <c r="G190" s="485">
        <f>(G179-G181)*(1-G186)+G182-G185</f>
        <v>0</v>
      </c>
    </row>
    <row r="191" spans="1:7" ht="18" customHeight="1" x14ac:dyDescent="0.2">
      <c r="D191" s="4"/>
      <c r="E191" s="4"/>
    </row>
    <row r="192" spans="1:7" ht="18" customHeight="1" x14ac:dyDescent="0.2">
      <c r="A192" s="97" t="s">
        <v>368</v>
      </c>
      <c r="E192" s="472"/>
    </row>
    <row r="193" spans="1:17" ht="18" customHeight="1" x14ac:dyDescent="0.2">
      <c r="A193" s="97"/>
      <c r="E193" s="472"/>
    </row>
    <row r="194" spans="1:17" ht="18" customHeight="1" x14ac:dyDescent="0.2">
      <c r="A194" s="1650" t="s">
        <v>369</v>
      </c>
      <c r="B194" s="1651"/>
      <c r="C194" s="1651"/>
      <c r="D194" s="1651"/>
      <c r="E194" s="472"/>
      <c r="I194" s="315" t="s">
        <v>420</v>
      </c>
      <c r="M194" s="315" t="s">
        <v>421</v>
      </c>
      <c r="P194" s="315" t="s">
        <v>422</v>
      </c>
    </row>
    <row r="195" spans="1:17" ht="15" customHeight="1" x14ac:dyDescent="0.2">
      <c r="A195" s="1652" t="s">
        <v>370</v>
      </c>
      <c r="B195" s="1652"/>
      <c r="C195" s="1652"/>
      <c r="D195" s="1652"/>
      <c r="E195" s="20"/>
      <c r="I195" s="20"/>
      <c r="M195" s="20"/>
      <c r="P195" s="20"/>
      <c r="Q195" s="282"/>
    </row>
    <row r="196" spans="1:17" ht="15" customHeight="1" x14ac:dyDescent="0.2">
      <c r="A196" s="1653" t="s">
        <v>371</v>
      </c>
      <c r="B196" s="1653"/>
      <c r="C196" s="1653"/>
      <c r="D196" s="1653"/>
      <c r="E196" s="21"/>
      <c r="I196" s="21"/>
      <c r="M196" s="21"/>
      <c r="P196" s="21"/>
      <c r="Q196" s="282"/>
    </row>
    <row r="197" spans="1:17" ht="15" customHeight="1" x14ac:dyDescent="0.2">
      <c r="A197" s="1654" t="s">
        <v>372</v>
      </c>
      <c r="B197" s="1654"/>
      <c r="C197" s="1654"/>
      <c r="D197" s="1654"/>
      <c r="E197" s="364" t="str">
        <f>IF(E196=0,"0",E195/E196)</f>
        <v>0</v>
      </c>
      <c r="I197" s="364" t="str">
        <f>IF(I196=0,"0",I195/I196)</f>
        <v>0</v>
      </c>
      <c r="M197" s="364" t="str">
        <f>IF(M196=0,"0",M195/M196)</f>
        <v>0</v>
      </c>
      <c r="P197" s="364" t="str">
        <f>IF(P196=0,"0",P195/P196)</f>
        <v>0</v>
      </c>
      <c r="Q197" s="282"/>
    </row>
    <row r="198" spans="1:17" ht="15" customHeight="1" thickBot="1" x14ac:dyDescent="0.25">
      <c r="A198" s="1655" t="s">
        <v>373</v>
      </c>
      <c r="B198" s="1656"/>
      <c r="C198" s="1656"/>
      <c r="D198" s="1657"/>
      <c r="E198" s="22"/>
      <c r="I198" s="22"/>
      <c r="M198" s="22"/>
      <c r="P198" s="22"/>
      <c r="Q198" s="282"/>
    </row>
    <row r="199" spans="1:17" ht="21" customHeight="1" thickTop="1" thickBot="1" x14ac:dyDescent="0.25">
      <c r="A199" s="1640" t="s">
        <v>374</v>
      </c>
      <c r="B199" s="1641"/>
      <c r="C199" s="1641"/>
      <c r="D199" s="1641"/>
      <c r="E199" s="486">
        <f>E197+E198</f>
        <v>0</v>
      </c>
      <c r="I199" s="486">
        <f>I197+I198</f>
        <v>0</v>
      </c>
      <c r="M199" s="486">
        <f>M197+M198</f>
        <v>0</v>
      </c>
      <c r="P199" s="486">
        <f>P197+P198</f>
        <v>0</v>
      </c>
      <c r="Q199" s="282"/>
    </row>
    <row r="200" spans="1:17" ht="15" customHeight="1" x14ac:dyDescent="0.2">
      <c r="A200" s="487"/>
      <c r="B200" s="488"/>
      <c r="C200" s="488"/>
      <c r="D200" s="489"/>
      <c r="E200" s="472"/>
      <c r="P200" s="100"/>
      <c r="Q200" s="282"/>
    </row>
    <row r="201" spans="1:17" ht="18" customHeight="1" x14ac:dyDescent="0.2">
      <c r="A201" s="1642" t="s">
        <v>375</v>
      </c>
      <c r="B201" s="1643"/>
      <c r="C201" s="1643"/>
      <c r="D201" s="1643"/>
      <c r="E201" s="472"/>
      <c r="F201" s="490" t="s">
        <v>376</v>
      </c>
      <c r="I201" s="472"/>
      <c r="J201" s="1604" t="s">
        <v>376</v>
      </c>
      <c r="K201" s="1605"/>
      <c r="M201" s="472"/>
      <c r="N201" s="490" t="s">
        <v>376</v>
      </c>
      <c r="P201" s="472"/>
      <c r="Q201" s="490" t="s">
        <v>376</v>
      </c>
    </row>
    <row r="202" spans="1:17" ht="15" customHeight="1" x14ac:dyDescent="0.2">
      <c r="A202" s="1556" t="s">
        <v>157</v>
      </c>
      <c r="B202" s="1556"/>
      <c r="C202" s="1556"/>
      <c r="D202" s="1556"/>
      <c r="E202" s="491">
        <f>$G$177*(1+F202)</f>
        <v>0</v>
      </c>
      <c r="F202" s="23"/>
      <c r="G202" s="102" t="s">
        <v>377</v>
      </c>
      <c r="I202" s="491">
        <f>$G$177*(1+J202)</f>
        <v>0</v>
      </c>
      <c r="J202" s="1606"/>
      <c r="K202" s="1607"/>
      <c r="M202" s="491">
        <f>$G$177*(1+N202)</f>
        <v>0</v>
      </c>
      <c r="N202" s="23"/>
      <c r="P202" s="491">
        <f>$G$177*(1+Q202)</f>
        <v>0</v>
      </c>
      <c r="Q202" s="23"/>
    </row>
    <row r="203" spans="1:17" ht="15" customHeight="1" x14ac:dyDescent="0.2">
      <c r="A203" s="1608" t="s">
        <v>357</v>
      </c>
      <c r="B203" s="1608"/>
      <c r="C203" s="1608"/>
      <c r="D203" s="1608"/>
      <c r="E203" s="492" t="e">
        <f>$E$202*(1-$G$9+F203)</f>
        <v>#VALUE!</v>
      </c>
      <c r="F203" s="24"/>
      <c r="G203" s="102" t="s">
        <v>377</v>
      </c>
      <c r="I203" s="492" t="e">
        <f>$I$202*(1-$G$9+J203)</f>
        <v>#VALUE!</v>
      </c>
      <c r="J203" s="1620"/>
      <c r="K203" s="1615"/>
      <c r="M203" s="492" t="e">
        <f>$M$202*(1-$G$9+N203)</f>
        <v>#VALUE!</v>
      </c>
      <c r="N203" s="24"/>
      <c r="P203" s="492" t="e">
        <f>$P$202*(1-$G$9+Q203)</f>
        <v>#VALUE!</v>
      </c>
      <c r="Q203" s="24"/>
    </row>
    <row r="204" spans="1:17" ht="15" customHeight="1" x14ac:dyDescent="0.2">
      <c r="A204" s="1609" t="s">
        <v>358</v>
      </c>
      <c r="B204" s="1609"/>
      <c r="C204" s="1609"/>
      <c r="D204" s="1609"/>
      <c r="E204" s="493" t="e">
        <f>E202-E203</f>
        <v>#VALUE!</v>
      </c>
      <c r="I204" s="493" t="e">
        <f>I202-I203</f>
        <v>#VALUE!</v>
      </c>
      <c r="J204" s="100"/>
      <c r="M204" s="493" t="e">
        <f>M202-M203</f>
        <v>#VALUE!</v>
      </c>
      <c r="N204" s="100"/>
      <c r="P204" s="493" t="e">
        <f>P202-P203</f>
        <v>#VALUE!</v>
      </c>
      <c r="Q204" s="100"/>
    </row>
    <row r="205" spans="1:17" ht="15" customHeight="1" x14ac:dyDescent="0.2">
      <c r="A205" s="1609" t="s">
        <v>363</v>
      </c>
      <c r="B205" s="1609"/>
      <c r="C205" s="1609"/>
      <c r="D205" s="1609"/>
      <c r="E205" s="494" t="e">
        <f>E204/E202</f>
        <v>#VALUE!</v>
      </c>
      <c r="I205" s="494" t="e">
        <f>I204/I202</f>
        <v>#VALUE!</v>
      </c>
      <c r="J205" s="100"/>
      <c r="M205" s="494" t="e">
        <f>M204/M202</f>
        <v>#VALUE!</v>
      </c>
      <c r="N205" s="100"/>
      <c r="P205" s="494" t="e">
        <f>P204/P202</f>
        <v>#VALUE!</v>
      </c>
      <c r="Q205" s="100"/>
    </row>
    <row r="206" spans="1:17" ht="15" customHeight="1" x14ac:dyDescent="0.2">
      <c r="A206" s="1610" t="s">
        <v>359</v>
      </c>
      <c r="B206" s="1610"/>
      <c r="C206" s="1610"/>
      <c r="D206" s="1610"/>
      <c r="E206" s="491">
        <f>$G$181+F206</f>
        <v>0</v>
      </c>
      <c r="F206" s="25"/>
      <c r="G206" s="102" t="s">
        <v>378</v>
      </c>
      <c r="I206" s="491">
        <f>$G$181+J206</f>
        <v>0</v>
      </c>
      <c r="J206" s="1612"/>
      <c r="K206" s="1613"/>
      <c r="M206" s="491">
        <f>$G$181+N206</f>
        <v>0</v>
      </c>
      <c r="N206" s="25"/>
      <c r="P206" s="491">
        <f>$G$181+Q206</f>
        <v>0</v>
      </c>
      <c r="Q206" s="25"/>
    </row>
    <row r="207" spans="1:17" ht="15" customHeight="1" thickBot="1" x14ac:dyDescent="0.25">
      <c r="A207" s="1611" t="s">
        <v>361</v>
      </c>
      <c r="B207" s="1611"/>
      <c r="C207" s="1611"/>
      <c r="D207" s="1611"/>
      <c r="E207" s="495">
        <f>$G$182+F207</f>
        <v>0</v>
      </c>
      <c r="F207" s="26"/>
      <c r="G207" s="102" t="s">
        <v>378</v>
      </c>
      <c r="I207" s="495">
        <f>$G$182+J207</f>
        <v>0</v>
      </c>
      <c r="J207" s="1614"/>
      <c r="K207" s="1615"/>
      <c r="M207" s="495">
        <f>$G$182+N207</f>
        <v>0</v>
      </c>
      <c r="N207" s="26"/>
      <c r="P207" s="495">
        <f>$G$182+Q207</f>
        <v>0</v>
      </c>
      <c r="Q207" s="26"/>
    </row>
    <row r="208" spans="1:17" ht="15" customHeight="1" thickTop="1" x14ac:dyDescent="0.2">
      <c r="A208" s="1616" t="s">
        <v>362</v>
      </c>
      <c r="B208" s="1616"/>
      <c r="C208" s="1616"/>
      <c r="D208" s="1616"/>
      <c r="E208" s="496" t="e">
        <f>E204-(E206-E207)</f>
        <v>#VALUE!</v>
      </c>
      <c r="I208" s="496" t="e">
        <f>I204-(I206-I207)</f>
        <v>#VALUE!</v>
      </c>
      <c r="J208" s="100"/>
      <c r="M208" s="496" t="e">
        <f>M204-(M206-M207)</f>
        <v>#VALUE!</v>
      </c>
      <c r="N208" s="100"/>
      <c r="P208" s="496" t="e">
        <f>P204-(P206-P207)</f>
        <v>#VALUE!</v>
      </c>
      <c r="Q208" s="100"/>
    </row>
    <row r="209" spans="1:33" ht="15" customHeight="1" x14ac:dyDescent="0.2">
      <c r="A209" s="1609" t="s">
        <v>360</v>
      </c>
      <c r="B209" s="1609"/>
      <c r="C209" s="1609"/>
      <c r="D209" s="1609"/>
      <c r="E209" s="494">
        <f>$E$186</f>
        <v>0</v>
      </c>
      <c r="I209" s="494">
        <f>$E$186</f>
        <v>0</v>
      </c>
      <c r="J209" s="100"/>
      <c r="M209" s="494">
        <f>$E$186</f>
        <v>0</v>
      </c>
      <c r="N209" s="100"/>
      <c r="P209" s="494">
        <f>$E$186</f>
        <v>0</v>
      </c>
      <c r="Q209" s="100"/>
    </row>
    <row r="210" spans="1:33" ht="15" customHeight="1" thickBot="1" x14ac:dyDescent="0.25">
      <c r="D210" s="4"/>
      <c r="E210" s="472"/>
      <c r="I210" s="472"/>
      <c r="J210" s="100"/>
      <c r="M210" s="472"/>
      <c r="N210" s="100"/>
      <c r="P210" s="472"/>
      <c r="Q210" s="100"/>
    </row>
    <row r="211" spans="1:33" ht="21" customHeight="1" thickBot="1" x14ac:dyDescent="0.25">
      <c r="A211" s="1617" t="s">
        <v>484</v>
      </c>
      <c r="B211" s="1618"/>
      <c r="C211" s="1618"/>
      <c r="D211" s="1619"/>
      <c r="E211" s="497" t="e">
        <f>IF(E199-E207&lt;=0,(E206+(E199-E207))/E205,(E206+(E199-E207)/(1-E209))/E205)</f>
        <v>#VALUE!</v>
      </c>
      <c r="I211" s="497" t="e">
        <f>IF(I199-I207&lt;=0,(I206+(I199-I207))/I205,(I206+(I199-I207)/(1-I209))/I205)</f>
        <v>#VALUE!</v>
      </c>
      <c r="J211" s="100"/>
      <c r="M211" s="497" t="e">
        <f>IF(M199-M207&lt;=0,(M206+(M199-M207))/M205,(M206+(M199-M207)/(1-M209))/M205)</f>
        <v>#VALUE!</v>
      </c>
      <c r="N211" s="100"/>
      <c r="P211" s="497" t="e">
        <f>IF(P199-P207&lt;=0,(P206+(P199-P207))/P205,(P206+(P199-P207)/(1-P209))/P205)</f>
        <v>#VALUE!</v>
      </c>
      <c r="Q211" s="100"/>
    </row>
    <row r="212" spans="1:33" ht="15" customHeight="1" x14ac:dyDescent="0.2">
      <c r="A212" s="1600" t="s">
        <v>485</v>
      </c>
      <c r="B212" s="1601"/>
      <c r="C212" s="1601"/>
      <c r="D212" s="1602"/>
      <c r="E212" s="498" t="e">
        <f>E211/E202</f>
        <v>#VALUE!</v>
      </c>
      <c r="I212" s="498" t="e">
        <f>I211/I202</f>
        <v>#VALUE!</v>
      </c>
      <c r="J212" s="100"/>
      <c r="M212" s="498" t="e">
        <f>M211/M202</f>
        <v>#VALUE!</v>
      </c>
      <c r="N212" s="100"/>
      <c r="P212" s="498" t="e">
        <f>P211/P202</f>
        <v>#VALUE!</v>
      </c>
      <c r="Q212" s="100"/>
    </row>
    <row r="213" spans="1:33" ht="21" customHeight="1" x14ac:dyDescent="0.2">
      <c r="A213" s="1603" t="s">
        <v>364</v>
      </c>
      <c r="B213" s="1603"/>
      <c r="C213" s="1603"/>
      <c r="D213" s="1603"/>
      <c r="E213" s="499" t="e">
        <f>(E204-E206)*(1-E209)+E207-E199</f>
        <v>#VALUE!</v>
      </c>
      <c r="I213" s="499" t="e">
        <f>(I204-I206)*(1-I209)+I207-I199</f>
        <v>#VALUE!</v>
      </c>
      <c r="J213" s="100"/>
      <c r="M213" s="499" t="e">
        <f>(M204-M206)*(1-M209)+M207-M199</f>
        <v>#VALUE!</v>
      </c>
      <c r="N213" s="100"/>
      <c r="P213" s="499" t="e">
        <f>(P204-P206)*(1-P209)+P207-P199</f>
        <v>#VALUE!</v>
      </c>
      <c r="Q213" s="100"/>
    </row>
    <row r="214" spans="1:33" s="282" customFormat="1" x14ac:dyDescent="0.2">
      <c r="D214" s="100"/>
      <c r="E214" s="100"/>
      <c r="F214" s="100"/>
      <c r="G214" s="100"/>
      <c r="H214" s="283"/>
      <c r="I214" s="283"/>
      <c r="J214" s="280"/>
      <c r="K214" s="281"/>
      <c r="M214" s="100"/>
      <c r="P214" s="4"/>
      <c r="Q214" s="4"/>
      <c r="R214" s="4"/>
      <c r="S214" s="4"/>
      <c r="T214" s="4"/>
      <c r="U214" s="4"/>
      <c r="V214" s="4"/>
      <c r="W214" s="4"/>
      <c r="X214" s="4"/>
      <c r="Y214" s="4"/>
      <c r="Z214" s="4"/>
      <c r="AA214" s="4"/>
      <c r="AB214" s="4"/>
      <c r="AC214" s="4"/>
      <c r="AD214" s="4"/>
      <c r="AE214" s="4"/>
      <c r="AF214" s="4"/>
      <c r="AG214" s="4"/>
    </row>
    <row r="215" spans="1:33" s="282" customFormat="1" x14ac:dyDescent="0.2">
      <c r="D215" s="100"/>
      <c r="E215" s="100"/>
      <c r="F215" s="100"/>
      <c r="G215" s="100"/>
      <c r="H215" s="283"/>
      <c r="I215" s="283"/>
      <c r="J215" s="280"/>
      <c r="K215" s="281"/>
      <c r="M215" s="100"/>
      <c r="P215" s="4"/>
      <c r="Q215" s="4"/>
      <c r="R215" s="4"/>
      <c r="S215" s="4"/>
      <c r="T215" s="4"/>
      <c r="U215" s="4"/>
      <c r="V215" s="4"/>
      <c r="W215" s="4"/>
      <c r="X215" s="4"/>
      <c r="Y215" s="4"/>
      <c r="Z215" s="4"/>
      <c r="AA215" s="4"/>
      <c r="AB215" s="4"/>
      <c r="AC215" s="4"/>
      <c r="AD215" s="4"/>
      <c r="AE215" s="4"/>
      <c r="AF215" s="4"/>
      <c r="AG215" s="4"/>
    </row>
    <row r="216" spans="1:33" s="282" customFormat="1" x14ac:dyDescent="0.2">
      <c r="D216" s="100"/>
      <c r="E216" s="100"/>
      <c r="F216" s="100"/>
      <c r="G216" s="100"/>
      <c r="H216" s="283"/>
      <c r="I216" s="283"/>
      <c r="J216" s="280"/>
      <c r="K216" s="281"/>
      <c r="M216" s="100"/>
      <c r="P216" s="4"/>
      <c r="Q216" s="4"/>
      <c r="R216" s="4"/>
      <c r="S216" s="4"/>
      <c r="T216" s="4"/>
      <c r="U216" s="4"/>
      <c r="V216" s="4"/>
      <c r="W216" s="4"/>
      <c r="X216" s="4"/>
      <c r="Y216" s="4"/>
      <c r="Z216" s="4"/>
      <c r="AA216" s="4"/>
      <c r="AB216" s="4"/>
      <c r="AC216" s="4"/>
      <c r="AD216" s="4"/>
      <c r="AE216" s="4"/>
      <c r="AF216" s="4"/>
      <c r="AG216" s="4"/>
    </row>
    <row r="217" spans="1:33" s="282" customFormat="1" x14ac:dyDescent="0.2">
      <c r="D217" s="100"/>
      <c r="E217" s="100"/>
      <c r="F217" s="100"/>
      <c r="G217" s="100"/>
      <c r="H217" s="283"/>
      <c r="I217" s="283"/>
      <c r="J217" s="280"/>
      <c r="K217" s="281"/>
      <c r="M217" s="100"/>
      <c r="P217" s="4"/>
      <c r="Q217" s="4"/>
      <c r="R217" s="4"/>
      <c r="S217" s="4"/>
      <c r="T217" s="4"/>
      <c r="U217" s="4"/>
      <c r="V217" s="4"/>
      <c r="W217" s="4"/>
      <c r="X217" s="4"/>
      <c r="Y217" s="4"/>
      <c r="Z217" s="4"/>
      <c r="AA217" s="4"/>
      <c r="AB217" s="4"/>
      <c r="AC217" s="4"/>
      <c r="AD217" s="4"/>
      <c r="AE217" s="4"/>
      <c r="AF217" s="4"/>
      <c r="AG217" s="4"/>
    </row>
    <row r="218" spans="1:33" s="282" customFormat="1" x14ac:dyDescent="0.2">
      <c r="D218" s="100"/>
      <c r="E218" s="100"/>
      <c r="F218" s="100"/>
      <c r="G218" s="100"/>
      <c r="H218" s="283"/>
      <c r="I218" s="283"/>
      <c r="J218" s="280"/>
      <c r="K218" s="281"/>
      <c r="M218" s="100"/>
      <c r="P218" s="4"/>
      <c r="Q218" s="4"/>
      <c r="R218" s="4"/>
      <c r="S218" s="4"/>
      <c r="T218" s="4"/>
      <c r="U218" s="4"/>
      <c r="V218" s="4"/>
      <c r="W218" s="4"/>
      <c r="X218" s="4"/>
      <c r="Y218" s="4"/>
      <c r="Z218" s="4"/>
      <c r="AA218" s="4"/>
      <c r="AB218" s="4"/>
      <c r="AC218" s="4"/>
      <c r="AD218" s="4"/>
      <c r="AE218" s="4"/>
      <c r="AF218" s="4"/>
      <c r="AG218" s="4"/>
    </row>
    <row r="219" spans="1:33" s="282" customFormat="1" x14ac:dyDescent="0.2">
      <c r="D219" s="100"/>
      <c r="E219" s="100"/>
      <c r="F219" s="100"/>
      <c r="G219" s="100"/>
      <c r="H219" s="283"/>
      <c r="I219" s="283"/>
      <c r="J219" s="280"/>
      <c r="K219" s="281"/>
      <c r="M219" s="100"/>
      <c r="P219" s="4"/>
      <c r="Q219" s="4"/>
      <c r="R219" s="4"/>
      <c r="S219" s="4"/>
      <c r="T219" s="4"/>
      <c r="U219" s="4"/>
      <c r="V219" s="4"/>
      <c r="W219" s="4"/>
      <c r="X219" s="4"/>
      <c r="Y219" s="4"/>
      <c r="Z219" s="4"/>
      <c r="AA219" s="4"/>
      <c r="AB219" s="4"/>
      <c r="AC219" s="4"/>
      <c r="AD219" s="4"/>
      <c r="AE219" s="4"/>
      <c r="AF219" s="4"/>
      <c r="AG219" s="4"/>
    </row>
    <row r="220" spans="1:33" s="282" customFormat="1" x14ac:dyDescent="0.2">
      <c r="D220" s="100"/>
      <c r="E220" s="100"/>
      <c r="F220" s="100"/>
      <c r="G220" s="100"/>
      <c r="H220" s="283"/>
      <c r="I220" s="283"/>
      <c r="J220" s="280"/>
      <c r="K220" s="281"/>
      <c r="M220" s="100"/>
      <c r="P220" s="4"/>
      <c r="Q220" s="4"/>
      <c r="R220" s="4"/>
      <c r="S220" s="4"/>
      <c r="T220" s="4"/>
      <c r="U220" s="4"/>
      <c r="V220" s="4"/>
      <c r="W220" s="4"/>
      <c r="X220" s="4"/>
      <c r="Y220" s="4"/>
      <c r="Z220" s="4"/>
      <c r="AA220" s="4"/>
      <c r="AB220" s="4"/>
      <c r="AC220" s="4"/>
      <c r="AD220" s="4"/>
      <c r="AE220" s="4"/>
      <c r="AF220" s="4"/>
      <c r="AG220" s="4"/>
    </row>
    <row r="221" spans="1:33" s="282" customFormat="1" x14ac:dyDescent="0.2">
      <c r="D221" s="100"/>
      <c r="E221" s="100"/>
      <c r="F221" s="100"/>
      <c r="G221" s="100"/>
      <c r="H221" s="283"/>
      <c r="I221" s="283"/>
      <c r="J221" s="280"/>
      <c r="K221" s="281"/>
      <c r="M221" s="100"/>
      <c r="P221" s="4"/>
      <c r="Q221" s="4"/>
      <c r="R221" s="4"/>
      <c r="S221" s="4"/>
      <c r="T221" s="4"/>
      <c r="U221" s="4"/>
      <c r="V221" s="4"/>
      <c r="W221" s="4"/>
      <c r="X221" s="4"/>
      <c r="Y221" s="4"/>
      <c r="Z221" s="4"/>
      <c r="AA221" s="4"/>
      <c r="AB221" s="4"/>
      <c r="AC221" s="4"/>
      <c r="AD221" s="4"/>
      <c r="AE221" s="4"/>
      <c r="AF221" s="4"/>
      <c r="AG221" s="4"/>
    </row>
    <row r="222" spans="1:33" s="282" customFormat="1" x14ac:dyDescent="0.2">
      <c r="D222" s="100"/>
      <c r="E222" s="100"/>
      <c r="F222" s="100"/>
      <c r="G222" s="100"/>
      <c r="H222" s="283"/>
      <c r="I222" s="283"/>
      <c r="J222" s="280"/>
      <c r="K222" s="281"/>
      <c r="M222" s="100"/>
      <c r="P222" s="4"/>
      <c r="Q222" s="4"/>
      <c r="R222" s="4"/>
      <c r="S222" s="4"/>
      <c r="T222" s="4"/>
      <c r="U222" s="4"/>
      <c r="V222" s="4"/>
      <c r="W222" s="4"/>
      <c r="X222" s="4"/>
      <c r="Y222" s="4"/>
      <c r="Z222" s="4"/>
      <c r="AA222" s="4"/>
      <c r="AB222" s="4"/>
      <c r="AC222" s="4"/>
      <c r="AD222" s="4"/>
      <c r="AE222" s="4"/>
      <c r="AF222" s="4"/>
      <c r="AG222" s="4"/>
    </row>
    <row r="223" spans="1:33" s="282" customFormat="1" x14ac:dyDescent="0.2">
      <c r="D223" s="100"/>
      <c r="E223" s="100"/>
      <c r="F223" s="100"/>
      <c r="G223" s="100"/>
      <c r="H223" s="283"/>
      <c r="I223" s="283"/>
      <c r="J223" s="280"/>
      <c r="K223" s="281"/>
      <c r="M223" s="100"/>
      <c r="P223" s="4"/>
      <c r="Q223" s="4"/>
      <c r="R223" s="4"/>
      <c r="S223" s="4"/>
      <c r="T223" s="4"/>
      <c r="U223" s="4"/>
      <c r="V223" s="4"/>
      <c r="W223" s="4"/>
      <c r="X223" s="4"/>
      <c r="Y223" s="4"/>
      <c r="Z223" s="4"/>
      <c r="AA223" s="4"/>
      <c r="AB223" s="4"/>
      <c r="AC223" s="4"/>
      <c r="AD223" s="4"/>
      <c r="AE223" s="4"/>
      <c r="AF223" s="4"/>
      <c r="AG223" s="4"/>
    </row>
    <row r="224" spans="1:33" s="282" customFormat="1" x14ac:dyDescent="0.2">
      <c r="D224" s="100"/>
      <c r="E224" s="100"/>
      <c r="F224" s="100"/>
      <c r="G224" s="100"/>
      <c r="H224" s="283"/>
      <c r="I224" s="283"/>
      <c r="J224" s="280"/>
      <c r="K224" s="281"/>
      <c r="M224" s="100"/>
      <c r="P224" s="4"/>
      <c r="Q224" s="4"/>
      <c r="R224" s="4"/>
      <c r="S224" s="4"/>
      <c r="T224" s="4"/>
      <c r="U224" s="4"/>
      <c r="V224" s="4"/>
      <c r="W224" s="4"/>
      <c r="X224" s="4"/>
      <c r="Y224" s="4"/>
      <c r="Z224" s="4"/>
      <c r="AA224" s="4"/>
      <c r="AB224" s="4"/>
      <c r="AC224" s="4"/>
      <c r="AD224" s="4"/>
      <c r="AE224" s="4"/>
      <c r="AF224" s="4"/>
      <c r="AG224" s="4"/>
    </row>
  </sheetData>
  <sheetProtection selectLockedCells="1"/>
  <mergeCells count="316">
    <mergeCell ref="Q100:S100"/>
    <mergeCell ref="O106:S108"/>
    <mergeCell ref="O109:S122"/>
    <mergeCell ref="O123:S134"/>
    <mergeCell ref="O136:S144"/>
    <mergeCell ref="O146:S154"/>
    <mergeCell ref="P101:P104"/>
    <mergeCell ref="J169:K169"/>
    <mergeCell ref="M103:N103"/>
    <mergeCell ref="R101:S101"/>
    <mergeCell ref="R102:S102"/>
    <mergeCell ref="R103:S103"/>
    <mergeCell ref="R104:S104"/>
    <mergeCell ref="J153:K153"/>
    <mergeCell ref="J154:K154"/>
    <mergeCell ref="J142:K142"/>
    <mergeCell ref="J143:K143"/>
    <mergeCell ref="J144:K144"/>
    <mergeCell ref="J136:K136"/>
    <mergeCell ref="J137:K137"/>
    <mergeCell ref="J138:K138"/>
    <mergeCell ref="J139:K139"/>
    <mergeCell ref="J140:K140"/>
    <mergeCell ref="O156:S160"/>
    <mergeCell ref="O162:S169"/>
    <mergeCell ref="A168:E168"/>
    <mergeCell ref="A169:E169"/>
    <mergeCell ref="J156:K156"/>
    <mergeCell ref="J157:K157"/>
    <mergeCell ref="J158:K158"/>
    <mergeCell ref="J159:K159"/>
    <mergeCell ref="J160:K160"/>
    <mergeCell ref="J162:K162"/>
    <mergeCell ref="J163:K163"/>
    <mergeCell ref="J165:K165"/>
    <mergeCell ref="A160:E160"/>
    <mergeCell ref="A162:E162"/>
    <mergeCell ref="A163:E163"/>
    <mergeCell ref="A165:E165"/>
    <mergeCell ref="A166:E166"/>
    <mergeCell ref="A167:E167"/>
    <mergeCell ref="A164:E164"/>
    <mergeCell ref="J166:K166"/>
    <mergeCell ref="J167:K167"/>
    <mergeCell ref="J168:K168"/>
    <mergeCell ref="J152:K152"/>
    <mergeCell ref="J141:K141"/>
    <mergeCell ref="J134:K134"/>
    <mergeCell ref="J146:K146"/>
    <mergeCell ref="J147:K147"/>
    <mergeCell ref="J148:K148"/>
    <mergeCell ref="J149:K149"/>
    <mergeCell ref="J150:K150"/>
    <mergeCell ref="J151:K151"/>
    <mergeCell ref="A139:E139"/>
    <mergeCell ref="A140:E140"/>
    <mergeCell ref="C125:E125"/>
    <mergeCell ref="A137:E137"/>
    <mergeCell ref="C132:E132"/>
    <mergeCell ref="C133:E133"/>
    <mergeCell ref="D134:E134"/>
    <mergeCell ref="A123:A134"/>
    <mergeCell ref="A138:E138"/>
    <mergeCell ref="D127:E127"/>
    <mergeCell ref="D128:E128"/>
    <mergeCell ref="D129:E129"/>
    <mergeCell ref="C130:E130"/>
    <mergeCell ref="B125:B134"/>
    <mergeCell ref="A3:F3"/>
    <mergeCell ref="A5:D5"/>
    <mergeCell ref="A6:D6"/>
    <mergeCell ref="A7:D7"/>
    <mergeCell ref="A8:D8"/>
    <mergeCell ref="A15:D15"/>
    <mergeCell ref="A29:D29"/>
    <mergeCell ref="A30:D30"/>
    <mergeCell ref="A54:D54"/>
    <mergeCell ref="A16:D16"/>
    <mergeCell ref="A22:G22"/>
    <mergeCell ref="A9:D9"/>
    <mergeCell ref="A10:D10"/>
    <mergeCell ref="A11:D11"/>
    <mergeCell ref="A12:D12"/>
    <mergeCell ref="A13:D13"/>
    <mergeCell ref="A14:D14"/>
    <mergeCell ref="A25:D25"/>
    <mergeCell ref="A26:D26"/>
    <mergeCell ref="A27:D27"/>
    <mergeCell ref="A28:D28"/>
    <mergeCell ref="A31:D31"/>
    <mergeCell ref="A34:D34"/>
    <mergeCell ref="A35:D35"/>
    <mergeCell ref="J108:K108"/>
    <mergeCell ref="J110:K110"/>
    <mergeCell ref="J111:K111"/>
    <mergeCell ref="J116:K116"/>
    <mergeCell ref="A90:D90"/>
    <mergeCell ref="A72:D72"/>
    <mergeCell ref="A73:D73"/>
    <mergeCell ref="A74:D74"/>
    <mergeCell ref="A75:D75"/>
    <mergeCell ref="A62:K63"/>
    <mergeCell ref="A68:D69"/>
    <mergeCell ref="A70:D70"/>
    <mergeCell ref="A71:D71"/>
    <mergeCell ref="A41:D41"/>
    <mergeCell ref="A42:D42"/>
    <mergeCell ref="A43:D43"/>
    <mergeCell ref="D113:E113"/>
    <mergeCell ref="D114:E114"/>
    <mergeCell ref="A79:D79"/>
    <mergeCell ref="A80:D80"/>
    <mergeCell ref="A81:D81"/>
    <mergeCell ref="J76:K76"/>
    <mergeCell ref="J77:K77"/>
    <mergeCell ref="J90:K90"/>
    <mergeCell ref="D112:E112"/>
    <mergeCell ref="H60:I60"/>
    <mergeCell ref="E68:F68"/>
    <mergeCell ref="G68:H68"/>
    <mergeCell ref="I68:I69"/>
    <mergeCell ref="A78:D78"/>
    <mergeCell ref="J68:K69"/>
    <mergeCell ref="J74:K74"/>
    <mergeCell ref="J75:K75"/>
    <mergeCell ref="J119:K119"/>
    <mergeCell ref="J123:K123"/>
    <mergeCell ref="A56:D56"/>
    <mergeCell ref="A55:D55"/>
    <mergeCell ref="A39:D39"/>
    <mergeCell ref="A40:D40"/>
    <mergeCell ref="C126:C129"/>
    <mergeCell ref="C111:E111"/>
    <mergeCell ref="J126:K126"/>
    <mergeCell ref="J121:K121"/>
    <mergeCell ref="D120:E120"/>
    <mergeCell ref="C121:E121"/>
    <mergeCell ref="C116:E116"/>
    <mergeCell ref="C118:E118"/>
    <mergeCell ref="J117:K117"/>
    <mergeCell ref="J118:K118"/>
    <mergeCell ref="D117:E117"/>
    <mergeCell ref="H57:I57"/>
    <mergeCell ref="H58:I58"/>
    <mergeCell ref="H59:I59"/>
    <mergeCell ref="A60:D60"/>
    <mergeCell ref="A94:D94"/>
    <mergeCell ref="A95:D95"/>
    <mergeCell ref="A96:D96"/>
    <mergeCell ref="A36:D36"/>
    <mergeCell ref="A37:D37"/>
    <mergeCell ref="A38:D38"/>
    <mergeCell ref="A49:F49"/>
    <mergeCell ref="J131:K131"/>
    <mergeCell ref="D119:E119"/>
    <mergeCell ref="J132:K132"/>
    <mergeCell ref="E84:F84"/>
    <mergeCell ref="J107:K107"/>
    <mergeCell ref="J93:K93"/>
    <mergeCell ref="A58:D58"/>
    <mergeCell ref="A53:D53"/>
    <mergeCell ref="A57:D57"/>
    <mergeCell ref="A59:D59"/>
    <mergeCell ref="I66:M66"/>
    <mergeCell ref="L68:L69"/>
    <mergeCell ref="M68:M69"/>
    <mergeCell ref="A84:D85"/>
    <mergeCell ref="A86:D86"/>
    <mergeCell ref="A87:D87"/>
    <mergeCell ref="A88:D88"/>
    <mergeCell ref="A89:D89"/>
    <mergeCell ref="A76:D76"/>
    <mergeCell ref="A77:D77"/>
    <mergeCell ref="J127:K127"/>
    <mergeCell ref="J96:K96"/>
    <mergeCell ref="J129:K129"/>
    <mergeCell ref="J130:K130"/>
    <mergeCell ref="C122:E122"/>
    <mergeCell ref="B123:E123"/>
    <mergeCell ref="B124:E124"/>
    <mergeCell ref="A97:D97"/>
    <mergeCell ref="B106:E106"/>
    <mergeCell ref="B107:E107"/>
    <mergeCell ref="B108:E108"/>
    <mergeCell ref="B109:E109"/>
    <mergeCell ref="C110:E110"/>
    <mergeCell ref="J113:K113"/>
    <mergeCell ref="J114:K114"/>
    <mergeCell ref="J115:K115"/>
    <mergeCell ref="J104:K104"/>
    <mergeCell ref="J112:K112"/>
    <mergeCell ref="J106:K106"/>
    <mergeCell ref="J128:K128"/>
    <mergeCell ref="J125:K125"/>
    <mergeCell ref="J109:K109"/>
    <mergeCell ref="D126:E126"/>
    <mergeCell ref="J122:K122"/>
    <mergeCell ref="O87:Q87"/>
    <mergeCell ref="J91:K91"/>
    <mergeCell ref="J92:K92"/>
    <mergeCell ref="J94:K94"/>
    <mergeCell ref="J78:K78"/>
    <mergeCell ref="O88:Q88"/>
    <mergeCell ref="J79:K79"/>
    <mergeCell ref="J80:K80"/>
    <mergeCell ref="J81:K81"/>
    <mergeCell ref="J84:K85"/>
    <mergeCell ref="L84:L85"/>
    <mergeCell ref="M84:M85"/>
    <mergeCell ref="O93:Q93"/>
    <mergeCell ref="J89:K89"/>
    <mergeCell ref="O89:Q89"/>
    <mergeCell ref="J88:K88"/>
    <mergeCell ref="J86:K86"/>
    <mergeCell ref="J87:K87"/>
    <mergeCell ref="O95:Q95"/>
    <mergeCell ref="O94:Q94"/>
    <mergeCell ref="B110:B122"/>
    <mergeCell ref="A100:F100"/>
    <mergeCell ref="A91:D91"/>
    <mergeCell ref="A92:D92"/>
    <mergeCell ref="A93:D93"/>
    <mergeCell ref="J4:K4"/>
    <mergeCell ref="H5:I5"/>
    <mergeCell ref="H6:I6"/>
    <mergeCell ref="H7:I7"/>
    <mergeCell ref="H8:I8"/>
    <mergeCell ref="A61:D61"/>
    <mergeCell ref="J52:K52"/>
    <mergeCell ref="H53:I53"/>
    <mergeCell ref="H54:I54"/>
    <mergeCell ref="H55:I55"/>
    <mergeCell ref="H10:I10"/>
    <mergeCell ref="H11:I11"/>
    <mergeCell ref="H12:I12"/>
    <mergeCell ref="H13:I13"/>
    <mergeCell ref="H14:I14"/>
    <mergeCell ref="H56:I56"/>
    <mergeCell ref="A45:H46"/>
    <mergeCell ref="H9:I9"/>
    <mergeCell ref="A105:E105"/>
    <mergeCell ref="A135:E135"/>
    <mergeCell ref="A145:E145"/>
    <mergeCell ref="A155:E155"/>
    <mergeCell ref="A161:E161"/>
    <mergeCell ref="A19:K19"/>
    <mergeCell ref="A18:K18"/>
    <mergeCell ref="A109:A122"/>
    <mergeCell ref="J97:K97"/>
    <mergeCell ref="G84:H84"/>
    <mergeCell ref="I84:I85"/>
    <mergeCell ref="J70:K70"/>
    <mergeCell ref="J71:K71"/>
    <mergeCell ref="J72:K72"/>
    <mergeCell ref="J73:K73"/>
    <mergeCell ref="A136:E136"/>
    <mergeCell ref="A106:A108"/>
    <mergeCell ref="D115:E115"/>
    <mergeCell ref="J133:K133"/>
    <mergeCell ref="J124:K124"/>
    <mergeCell ref="J120:K120"/>
    <mergeCell ref="J95:K95"/>
    <mergeCell ref="D131:E131"/>
    <mergeCell ref="A199:D199"/>
    <mergeCell ref="A201:D201"/>
    <mergeCell ref="A185:D185"/>
    <mergeCell ref="A186:D186"/>
    <mergeCell ref="A189:D189"/>
    <mergeCell ref="A182:D182"/>
    <mergeCell ref="A183:D183"/>
    <mergeCell ref="A188:D188"/>
    <mergeCell ref="A194:D194"/>
    <mergeCell ref="A195:D195"/>
    <mergeCell ref="A196:D196"/>
    <mergeCell ref="A197:D197"/>
    <mergeCell ref="A198:D198"/>
    <mergeCell ref="A190:D190"/>
    <mergeCell ref="A177:D177"/>
    <mergeCell ref="A178:D178"/>
    <mergeCell ref="A179:D179"/>
    <mergeCell ref="A181:D181"/>
    <mergeCell ref="A180:D180"/>
    <mergeCell ref="A141:E141"/>
    <mergeCell ref="A142:E142"/>
    <mergeCell ref="A143:E143"/>
    <mergeCell ref="A144:E144"/>
    <mergeCell ref="A149:E149"/>
    <mergeCell ref="A150:E150"/>
    <mergeCell ref="A151:E151"/>
    <mergeCell ref="A156:E156"/>
    <mergeCell ref="A157:E157"/>
    <mergeCell ref="A158:E158"/>
    <mergeCell ref="A159:E159"/>
    <mergeCell ref="A171:F171"/>
    <mergeCell ref="A152:E152"/>
    <mergeCell ref="A153:E153"/>
    <mergeCell ref="A154:E154"/>
    <mergeCell ref="A146:E146"/>
    <mergeCell ref="A147:E147"/>
    <mergeCell ref="A148:E148"/>
    <mergeCell ref="A212:D212"/>
    <mergeCell ref="A213:D213"/>
    <mergeCell ref="J201:K201"/>
    <mergeCell ref="J202:K202"/>
    <mergeCell ref="A202:D202"/>
    <mergeCell ref="A203:D203"/>
    <mergeCell ref="A204:D204"/>
    <mergeCell ref="A205:D205"/>
    <mergeCell ref="A206:D206"/>
    <mergeCell ref="A207:D207"/>
    <mergeCell ref="J206:K206"/>
    <mergeCell ref="J207:K207"/>
    <mergeCell ref="A208:D208"/>
    <mergeCell ref="A209:D209"/>
    <mergeCell ref="A211:D211"/>
    <mergeCell ref="J203:K203"/>
  </mergeCells>
  <phoneticPr fontId="2"/>
  <conditionalFormatting sqref="E17:G17">
    <cfRule type="cellIs" dxfId="32" priority="53" stopIfTrue="1" operator="notEqual">
      <formula>0</formula>
    </cfRule>
  </conditionalFormatting>
  <conditionalFormatting sqref="H106:H109 J106:K109 H123:H125 J123:K125 H136:H138 J136:K138 H143:H144 J143:K144 H146:H148 J146:K148 H152 J152:K153 J162:K163 H166:H167 J166:K167">
    <cfRule type="cellIs" dxfId="31" priority="34" stopIfTrue="1" operator="lessThan">
      <formula>0</formula>
    </cfRule>
  </conditionalFormatting>
  <conditionalFormatting sqref="H110 J110:K110 H113:H117 J113:K117 H126:H129 J126:K129 H139:H140 J139:K140 H149 J149:K149 H156 J156:K156 H158 J158:K158">
    <cfRule type="cellIs" dxfId="30" priority="32" stopIfTrue="1" operator="greaterThan">
      <formula>0</formula>
    </cfRule>
  </conditionalFormatting>
  <conditionalFormatting sqref="M106:M109">
    <cfRule type="cellIs" dxfId="29" priority="45" stopIfTrue="1" operator="lessThan">
      <formula>N106</formula>
    </cfRule>
  </conditionalFormatting>
  <conditionalFormatting sqref="M110:M111 M113:M117">
    <cfRule type="cellIs" dxfId="28" priority="43" stopIfTrue="1" operator="greaterThan">
      <formula>N110</formula>
    </cfRule>
  </conditionalFormatting>
  <conditionalFormatting sqref="M112">
    <cfRule type="cellIs" dxfId="27" priority="35" stopIfTrue="1" operator="lessThan">
      <formula>N112</formula>
    </cfRule>
  </conditionalFormatting>
  <conditionalFormatting sqref="M122:M125">
    <cfRule type="cellIs" dxfId="26" priority="38" stopIfTrue="1" operator="lessThan">
      <formula>N122</formula>
    </cfRule>
  </conditionalFormatting>
  <conditionalFormatting sqref="M126:M131 M133:M134">
    <cfRule type="cellIs" dxfId="25" priority="36" stopIfTrue="1" operator="greaterThan">
      <formula>N126</formula>
    </cfRule>
  </conditionalFormatting>
  <conditionalFormatting sqref="M136">
    <cfRule type="cellIs" dxfId="24" priority="19" stopIfTrue="1" operator="lessThan">
      <formula>$N$136</formula>
    </cfRule>
  </conditionalFormatting>
  <conditionalFormatting sqref="M137">
    <cfRule type="cellIs" dxfId="23" priority="18" stopIfTrue="1" operator="lessThan">
      <formula>$N$137</formula>
    </cfRule>
  </conditionalFormatting>
  <conditionalFormatting sqref="M138">
    <cfRule type="cellIs" dxfId="22" priority="17" stopIfTrue="1" operator="lessThan">
      <formula>$N$138</formula>
    </cfRule>
  </conditionalFormatting>
  <conditionalFormatting sqref="M139">
    <cfRule type="cellIs" dxfId="21" priority="16" stopIfTrue="1" operator="greaterThan">
      <formula>$N$139</formula>
    </cfRule>
  </conditionalFormatting>
  <conditionalFormatting sqref="M140">
    <cfRule type="cellIs" dxfId="20" priority="15" stopIfTrue="1" operator="greaterThan">
      <formula>$N$140</formula>
    </cfRule>
  </conditionalFormatting>
  <conditionalFormatting sqref="M143">
    <cfRule type="cellIs" dxfId="19" priority="14" stopIfTrue="1" operator="lessThan">
      <formula>$N$143</formula>
    </cfRule>
  </conditionalFormatting>
  <conditionalFormatting sqref="M144">
    <cfRule type="cellIs" dxfId="18" priority="13" stopIfTrue="1" operator="lessThan">
      <formula>$N$144</formula>
    </cfRule>
  </conditionalFormatting>
  <conditionalFormatting sqref="M146">
    <cfRule type="cellIs" dxfId="17" priority="12" stopIfTrue="1" operator="lessThan">
      <formula>$N$146</formula>
    </cfRule>
  </conditionalFormatting>
  <conditionalFormatting sqref="M147">
    <cfRule type="cellIs" dxfId="16" priority="11" stopIfTrue="1" operator="lessThan">
      <formula>$N$147</formula>
    </cfRule>
  </conditionalFormatting>
  <conditionalFormatting sqref="M148">
    <cfRule type="cellIs" dxfId="15" priority="10" stopIfTrue="1" operator="lessThan">
      <formula>$N$148</formula>
    </cfRule>
  </conditionalFormatting>
  <conditionalFormatting sqref="M149">
    <cfRule type="cellIs" dxfId="14" priority="9" stopIfTrue="1" operator="greaterThan">
      <formula>$N$149</formula>
    </cfRule>
  </conditionalFormatting>
  <conditionalFormatting sqref="M152">
    <cfRule type="cellIs" dxfId="13" priority="8" stopIfTrue="1" operator="lessThan">
      <formula>$N$152</formula>
    </cfRule>
  </conditionalFormatting>
  <conditionalFormatting sqref="M153">
    <cfRule type="cellIs" dxfId="12" priority="7" stopIfTrue="1" operator="lessThan">
      <formula>$N$153</formula>
    </cfRule>
  </conditionalFormatting>
  <conditionalFormatting sqref="M156">
    <cfRule type="cellIs" dxfId="11" priority="6" stopIfTrue="1" operator="greaterThan">
      <formula>$N$156</formula>
    </cfRule>
  </conditionalFormatting>
  <conditionalFormatting sqref="M158">
    <cfRule type="cellIs" dxfId="10" priority="4" stopIfTrue="1" operator="greaterThan">
      <formula>$N$158</formula>
    </cfRule>
  </conditionalFormatting>
  <conditionalFormatting sqref="M162">
    <cfRule type="cellIs" dxfId="9" priority="1" stopIfTrue="1" operator="lessThan">
      <formula>$N$162</formula>
    </cfRule>
  </conditionalFormatting>
  <conditionalFormatting sqref="M166">
    <cfRule type="cellIs" dxfId="8" priority="3" stopIfTrue="1" operator="lessThan">
      <formula>$N$166</formula>
    </cfRule>
  </conditionalFormatting>
  <conditionalFormatting sqref="M167">
    <cfRule type="cellIs" dxfId="7" priority="2" stopIfTrue="1" operator="lessThan">
      <formula>$N$167</formula>
    </cfRule>
  </conditionalFormatting>
  <printOptions horizontalCentered="1"/>
  <pageMargins left="0.51181102362204722" right="0.43307086614173229" top="0.74803149606299213" bottom="0.55118110236220474" header="0.31496062992125984" footer="0.31496062992125984"/>
  <pageSetup paperSize="8" scale="65" fitToHeight="2" orientation="portrait" r:id="rId1"/>
  <rowBreaks count="1" manualBreakCount="1">
    <brk id="99" max="1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I256"/>
  <sheetViews>
    <sheetView view="pageBreakPreview" topLeftCell="A68" zoomScale="75" zoomScaleNormal="40" zoomScaleSheetLayoutView="75" workbookViewId="0">
      <selection activeCell="K147" sqref="K147:Q163"/>
    </sheetView>
  </sheetViews>
  <sheetFormatPr defaultColWidth="9" defaultRowHeight="13.2" x14ac:dyDescent="0.2"/>
  <cols>
    <col min="1" max="3" width="5.109375" style="100" customWidth="1"/>
    <col min="4" max="4" width="14.109375" style="280" customWidth="1"/>
    <col min="5" max="17" width="14.109375" style="100" customWidth="1"/>
    <col min="18" max="18" width="1.109375" style="4" customWidth="1"/>
    <col min="19" max="21" width="4.109375" style="100" customWidth="1"/>
    <col min="22" max="22" width="12.109375" style="280" customWidth="1"/>
    <col min="23" max="35" width="12.109375" style="100" customWidth="1"/>
    <col min="36" max="36" width="4.44140625" style="4" customWidth="1"/>
    <col min="37" max="16384" width="9" style="4"/>
  </cols>
  <sheetData>
    <row r="1" spans="1:35" ht="22.5" customHeight="1" x14ac:dyDescent="0.2">
      <c r="A1" s="523">
        <f>'財務諸表（入力）'!D1</f>
        <v>0</v>
      </c>
      <c r="B1" s="321"/>
      <c r="D1" s="524"/>
      <c r="E1" s="38"/>
      <c r="F1" s="525"/>
      <c r="P1" s="2024"/>
      <c r="Q1" s="2025"/>
      <c r="S1" s="526" t="str">
        <f>'財務諸表（入力）'!A1</f>
        <v>企業名 :</v>
      </c>
      <c r="T1" s="527"/>
      <c r="U1" s="527">
        <f>'財務諸表（入力）'!D1</f>
        <v>0</v>
      </c>
      <c r="V1" s="528"/>
      <c r="W1" s="102" t="s">
        <v>163</v>
      </c>
      <c r="AH1" s="320"/>
    </row>
    <row r="2" spans="1:35" ht="22.5" customHeight="1" x14ac:dyDescent="0.2">
      <c r="A2" s="97"/>
      <c r="B2" s="529"/>
      <c r="C2" s="97"/>
      <c r="D2" s="524"/>
      <c r="E2" s="38"/>
      <c r="F2" s="525"/>
      <c r="P2" s="320"/>
      <c r="S2" s="526"/>
      <c r="T2" s="527"/>
      <c r="U2" s="527"/>
      <c r="V2" s="528"/>
      <c r="W2" s="102"/>
      <c r="AH2" s="320"/>
    </row>
    <row r="3" spans="1:35" ht="22.5" customHeight="1" x14ac:dyDescent="0.2">
      <c r="A3" s="523" t="str">
        <f>CONCATENATE("■ ",F41,"　資金運用表分析")</f>
        <v>■ 前期　資金運用表分析</v>
      </c>
      <c r="B3" s="529"/>
      <c r="C3" s="97"/>
      <c r="D3" s="524"/>
      <c r="E3" s="38"/>
      <c r="F3" s="525"/>
      <c r="P3" s="320"/>
      <c r="S3" s="526"/>
      <c r="T3" s="527"/>
      <c r="U3" s="527"/>
      <c r="V3" s="528"/>
      <c r="W3" s="102"/>
      <c r="AH3" s="320"/>
    </row>
    <row r="4" spans="1:35" ht="8.25" customHeight="1" x14ac:dyDescent="0.2">
      <c r="A4" s="98"/>
      <c r="B4" s="529"/>
      <c r="C4" s="97"/>
      <c r="D4" s="524"/>
      <c r="E4" s="38"/>
      <c r="P4" s="320"/>
      <c r="S4" s="526"/>
      <c r="T4" s="527"/>
      <c r="U4" s="527"/>
      <c r="V4" s="528"/>
      <c r="W4" s="102"/>
      <c r="AH4" s="320"/>
    </row>
    <row r="5" spans="1:35" ht="19.5" customHeight="1" x14ac:dyDescent="0.2">
      <c r="A5" s="97"/>
      <c r="B5" s="529"/>
      <c r="C5" s="529"/>
      <c r="D5" s="336"/>
      <c r="E5" s="38"/>
      <c r="I5" s="106" t="s">
        <v>417</v>
      </c>
      <c r="K5"/>
      <c r="L5"/>
      <c r="M5"/>
      <c r="N5"/>
      <c r="O5"/>
      <c r="P5"/>
      <c r="Q5"/>
      <c r="S5" s="530" t="str">
        <f>'財務諸表（入力）'!J5</f>
        <v>今期</v>
      </c>
      <c r="T5" s="527"/>
      <c r="U5" s="527"/>
      <c r="V5" s="531"/>
      <c r="W5" s="102" t="s">
        <v>164</v>
      </c>
      <c r="AH5" s="532"/>
      <c r="AI5" s="532"/>
    </row>
    <row r="6" spans="1:35" ht="19.5" customHeight="1" x14ac:dyDescent="0.2">
      <c r="A6" s="529"/>
      <c r="B6" s="529"/>
      <c r="C6" s="529"/>
      <c r="D6" s="1967" t="s">
        <v>418</v>
      </c>
      <c r="E6" s="1968"/>
      <c r="F6" s="1968"/>
      <c r="G6" s="1967" t="s">
        <v>408</v>
      </c>
      <c r="H6" s="1968"/>
      <c r="I6" s="1968"/>
      <c r="J6" s="529"/>
      <c r="K6"/>
      <c r="L6"/>
      <c r="M6"/>
      <c r="N6"/>
      <c r="O6"/>
      <c r="P6"/>
      <c r="Q6"/>
      <c r="S6" s="533"/>
      <c r="T6" s="527"/>
      <c r="U6" s="527"/>
      <c r="V6" s="531"/>
      <c r="W6" s="102"/>
      <c r="AH6" s="532"/>
      <c r="AI6" s="532"/>
    </row>
    <row r="7" spans="1:35" ht="19.5" customHeight="1" x14ac:dyDescent="0.2">
      <c r="A7" s="1986" t="s">
        <v>412</v>
      </c>
      <c r="B7" s="1986"/>
      <c r="C7" s="1986"/>
      <c r="D7" s="1924" t="s">
        <v>172</v>
      </c>
      <c r="E7" s="1556"/>
      <c r="F7" s="534">
        <f>L121</f>
        <v>0</v>
      </c>
      <c r="G7" s="1924" t="s">
        <v>409</v>
      </c>
      <c r="H7" s="1556"/>
      <c r="I7" s="534">
        <f>M123</f>
        <v>0</v>
      </c>
      <c r="J7" s="529"/>
      <c r="K7"/>
      <c r="L7"/>
      <c r="M7"/>
      <c r="N7"/>
      <c r="O7"/>
      <c r="P7"/>
      <c r="Q7"/>
      <c r="S7" s="533"/>
      <c r="T7" s="527"/>
      <c r="U7" s="527"/>
      <c r="V7" s="531"/>
      <c r="W7" s="102"/>
      <c r="AH7" s="532"/>
      <c r="AI7" s="532"/>
    </row>
    <row r="8" spans="1:35" ht="19.5" customHeight="1" x14ac:dyDescent="0.2">
      <c r="A8" s="1986"/>
      <c r="B8" s="1986"/>
      <c r="C8" s="1986"/>
      <c r="D8" s="1925" t="s">
        <v>70</v>
      </c>
      <c r="E8" s="1554"/>
      <c r="F8" s="535">
        <f>L119</f>
        <v>0</v>
      </c>
      <c r="G8" s="1925" t="s">
        <v>410</v>
      </c>
      <c r="H8" s="1554"/>
      <c r="I8" s="535">
        <f>M116</f>
        <v>0</v>
      </c>
      <c r="J8" s="529"/>
      <c r="K8"/>
      <c r="L8"/>
      <c r="M8"/>
      <c r="N8"/>
      <c r="O8"/>
      <c r="P8"/>
      <c r="Q8"/>
      <c r="S8" s="533"/>
      <c r="T8" s="527"/>
      <c r="U8" s="527"/>
      <c r="V8" s="531"/>
      <c r="W8" s="102"/>
      <c r="AH8" s="532"/>
      <c r="AI8" s="532"/>
    </row>
    <row r="9" spans="1:35" ht="19.5" customHeight="1" x14ac:dyDescent="0.2">
      <c r="A9" s="1986"/>
      <c r="B9" s="1986"/>
      <c r="C9" s="1986"/>
      <c r="D9" s="1925" t="s">
        <v>71</v>
      </c>
      <c r="E9" s="1554"/>
      <c r="F9" s="535">
        <f>L120</f>
        <v>0</v>
      </c>
      <c r="G9" s="1925" t="s">
        <v>395</v>
      </c>
      <c r="H9" s="1554"/>
      <c r="I9" s="535">
        <f>(M106+M107+M108)-(L106+L107+L108)+(M112+M113)-(L112+L113)</f>
        <v>0</v>
      </c>
      <c r="J9" s="529"/>
      <c r="K9"/>
      <c r="L9"/>
      <c r="M9"/>
      <c r="N9"/>
      <c r="O9"/>
      <c r="P9"/>
      <c r="Q9"/>
      <c r="S9" s="533"/>
      <c r="T9" s="527"/>
      <c r="U9" s="527"/>
      <c r="V9" s="531"/>
      <c r="W9" s="102"/>
      <c r="AH9" s="532"/>
      <c r="AI9" s="532"/>
    </row>
    <row r="10" spans="1:35" ht="19.5" customHeight="1" x14ac:dyDescent="0.2">
      <c r="A10" s="1986"/>
      <c r="B10" s="1986"/>
      <c r="C10" s="1986"/>
      <c r="D10" s="1925" t="s">
        <v>397</v>
      </c>
      <c r="E10" s="1554"/>
      <c r="F10" s="535">
        <f>L72</f>
        <v>0</v>
      </c>
      <c r="G10" s="1925" t="s">
        <v>398</v>
      </c>
      <c r="H10" s="1554"/>
      <c r="I10" s="535">
        <f>M72</f>
        <v>0</v>
      </c>
      <c r="J10" s="529"/>
      <c r="K10"/>
      <c r="L10"/>
      <c r="M10"/>
      <c r="N10"/>
      <c r="O10"/>
      <c r="P10"/>
      <c r="Q10"/>
      <c r="S10" s="533"/>
      <c r="T10" s="527"/>
      <c r="U10" s="527"/>
      <c r="V10" s="531"/>
      <c r="W10" s="102"/>
      <c r="AH10" s="532"/>
      <c r="AI10" s="532"/>
    </row>
    <row r="11" spans="1:35" ht="19.5" customHeight="1" x14ac:dyDescent="0.2">
      <c r="A11" s="1986"/>
      <c r="B11" s="1986"/>
      <c r="C11" s="1986"/>
      <c r="D11" s="1925" t="s">
        <v>466</v>
      </c>
      <c r="E11" s="1554"/>
      <c r="F11" s="535">
        <f>L97+L101</f>
        <v>0</v>
      </c>
      <c r="G11" s="1925" t="s">
        <v>467</v>
      </c>
      <c r="H11" s="1554"/>
      <c r="I11" s="535">
        <f>M97+M101</f>
        <v>0</v>
      </c>
      <c r="J11" s="529"/>
      <c r="K11"/>
      <c r="L11"/>
      <c r="M11"/>
      <c r="N11"/>
      <c r="O11"/>
      <c r="P11"/>
      <c r="Q11"/>
      <c r="S11" s="533"/>
      <c r="T11" s="527"/>
      <c r="U11" s="527"/>
      <c r="V11" s="531"/>
      <c r="W11" s="102"/>
      <c r="AH11" s="532"/>
      <c r="AI11" s="532"/>
    </row>
    <row r="12" spans="1:35" ht="19.5" customHeight="1" x14ac:dyDescent="0.2">
      <c r="A12" s="1986"/>
      <c r="B12" s="1986"/>
      <c r="C12" s="1986"/>
      <c r="D12" s="1925" t="s">
        <v>401</v>
      </c>
      <c r="E12" s="1554"/>
      <c r="F12" s="535">
        <f>IF(SUM(L74:L81)&gt;SUM(M74:M81),SUM(L74:L81)-SUM(M74:M81),0)</f>
        <v>0</v>
      </c>
      <c r="G12" s="1925" t="s">
        <v>400</v>
      </c>
      <c r="H12" s="1554"/>
      <c r="I12" s="535">
        <f>IF(SUM(L74:L81)&lt;SUM(M74:M81),SUM(M74:M81)-SUM(L74:L81),0)</f>
        <v>0</v>
      </c>
      <c r="J12" s="529"/>
      <c r="K12"/>
      <c r="L12"/>
      <c r="M12"/>
      <c r="N12"/>
      <c r="O12"/>
      <c r="P12"/>
      <c r="Q12"/>
      <c r="S12" s="533"/>
      <c r="T12" s="527"/>
      <c r="U12" s="527"/>
      <c r="V12" s="531"/>
      <c r="W12" s="102"/>
      <c r="AH12" s="532"/>
      <c r="AI12" s="532"/>
    </row>
    <row r="13" spans="1:35" ht="19.5" customHeight="1" x14ac:dyDescent="0.2">
      <c r="A13" s="1986"/>
      <c r="B13" s="1986"/>
      <c r="C13" s="1986"/>
      <c r="D13" s="1925" t="s">
        <v>72</v>
      </c>
      <c r="E13" s="1554"/>
      <c r="F13" s="535">
        <f>L73+L83</f>
        <v>0</v>
      </c>
      <c r="G13" s="1925" t="s">
        <v>73</v>
      </c>
      <c r="H13" s="1554"/>
      <c r="I13" s="535">
        <f>M73+M83</f>
        <v>0</v>
      </c>
      <c r="J13" s="529"/>
      <c r="K13"/>
      <c r="L13"/>
      <c r="M13"/>
      <c r="N13"/>
      <c r="O13"/>
      <c r="P13"/>
      <c r="Q13"/>
      <c r="S13" s="533"/>
      <c r="T13" s="527"/>
      <c r="U13" s="527"/>
      <c r="V13" s="531"/>
      <c r="W13" s="102"/>
      <c r="AH13" s="532"/>
      <c r="AI13" s="532"/>
    </row>
    <row r="14" spans="1:35" ht="19.5" customHeight="1" thickBot="1" x14ac:dyDescent="0.25">
      <c r="A14" s="1986"/>
      <c r="B14" s="1986"/>
      <c r="C14" s="1986"/>
      <c r="D14" s="1903" t="s">
        <v>414</v>
      </c>
      <c r="E14" s="1608"/>
      <c r="F14" s="536">
        <f>IF((SUM(L98:L103)-L101)-(SUM(M98:M103)-M101)&gt;0,(SUM(L98:L103)-L101)-(SUM(M98:M103)-M101),0)</f>
        <v>0</v>
      </c>
      <c r="G14" s="1903" t="s">
        <v>415</v>
      </c>
      <c r="H14" s="1608"/>
      <c r="I14" s="536">
        <f>IF((SUM(L98:L103)-L101)-(SUM(M98:M103)-M101)&lt;0,(SUM(M98:M103)-M101)-(SUM(L98:L103)-L101),0)</f>
        <v>0</v>
      </c>
      <c r="J14" s="529"/>
      <c r="K14"/>
      <c r="L14"/>
      <c r="M14"/>
      <c r="N14"/>
      <c r="O14"/>
      <c r="P14"/>
      <c r="Q14"/>
      <c r="S14" s="533"/>
      <c r="T14" s="527"/>
      <c r="U14" s="527"/>
      <c r="V14" s="531"/>
      <c r="W14" s="102"/>
      <c r="AH14" s="532"/>
      <c r="AI14" s="532"/>
    </row>
    <row r="15" spans="1:35" ht="19.5" customHeight="1" thickTop="1" thickBot="1" x14ac:dyDescent="0.25">
      <c r="A15" s="1986"/>
      <c r="B15" s="1986"/>
      <c r="C15" s="1987"/>
      <c r="D15" s="1995" t="s">
        <v>74</v>
      </c>
      <c r="E15" s="1990"/>
      <c r="F15" s="537">
        <f>L125</f>
        <v>0</v>
      </c>
      <c r="G15" s="1989" t="s">
        <v>75</v>
      </c>
      <c r="H15" s="1990"/>
      <c r="I15" s="538">
        <f>M125</f>
        <v>0</v>
      </c>
      <c r="J15" s="529"/>
      <c r="K15"/>
      <c r="L15"/>
      <c r="M15"/>
      <c r="N15"/>
      <c r="O15"/>
      <c r="P15"/>
      <c r="Q15"/>
      <c r="S15" s="533"/>
      <c r="T15" s="527"/>
      <c r="U15" s="527"/>
      <c r="V15" s="531"/>
      <c r="W15" s="102"/>
      <c r="AH15" s="532"/>
      <c r="AI15" s="532"/>
    </row>
    <row r="16" spans="1:35" ht="19.5" customHeight="1" thickTop="1" x14ac:dyDescent="0.2">
      <c r="A16" s="529"/>
      <c r="B16" s="529"/>
      <c r="C16" s="529"/>
      <c r="D16" s="1991" t="s">
        <v>40</v>
      </c>
      <c r="E16" s="1750"/>
      <c r="F16" s="539">
        <f>SUM(F7:F15)</f>
        <v>0</v>
      </c>
      <c r="G16" s="1991" t="s">
        <v>40</v>
      </c>
      <c r="H16" s="1750"/>
      <c r="I16" s="539">
        <f>SUM(I7:I15)</f>
        <v>0</v>
      </c>
      <c r="J16" s="529"/>
      <c r="K16"/>
      <c r="L16"/>
      <c r="M16"/>
      <c r="N16"/>
      <c r="O16"/>
      <c r="P16"/>
      <c r="Q16"/>
      <c r="S16" s="533"/>
      <c r="T16" s="527"/>
      <c r="U16" s="527"/>
      <c r="V16" s="531"/>
      <c r="W16" s="102"/>
      <c r="AH16" s="532"/>
      <c r="AI16" s="532"/>
    </row>
    <row r="17" spans="1:35" ht="19.5" customHeight="1" x14ac:dyDescent="0.2">
      <c r="A17" s="529"/>
      <c r="B17" s="529"/>
      <c r="C17" s="529"/>
      <c r="D17" s="1992" t="s">
        <v>178</v>
      </c>
      <c r="E17" s="1823"/>
      <c r="F17" s="529">
        <f>F16-I16</f>
        <v>0</v>
      </c>
      <c r="G17" s="1993" t="s">
        <v>411</v>
      </c>
      <c r="H17" s="1994"/>
      <c r="I17" s="541">
        <f>I7+I8</f>
        <v>0</v>
      </c>
      <c r="J17" s="529"/>
      <c r="K17"/>
      <c r="L17"/>
      <c r="M17"/>
      <c r="N17"/>
      <c r="O17"/>
      <c r="P17"/>
      <c r="Q17"/>
      <c r="S17" s="533"/>
      <c r="T17" s="527"/>
      <c r="U17" s="527"/>
      <c r="V17" s="531"/>
      <c r="W17" s="102"/>
      <c r="AH17" s="532"/>
      <c r="AI17" s="532"/>
    </row>
    <row r="18" spans="1:35" ht="19.5" customHeight="1" thickBot="1" x14ac:dyDescent="0.25">
      <c r="A18" s="529"/>
      <c r="B18" s="529"/>
      <c r="C18" s="529"/>
      <c r="D18" s="529"/>
      <c r="E18" s="38"/>
      <c r="F18" s="4"/>
      <c r="G18" s="4"/>
      <c r="H18" s="4"/>
      <c r="I18" s="4"/>
      <c r="J18" s="529"/>
      <c r="K18"/>
      <c r="L18"/>
      <c r="M18"/>
      <c r="N18"/>
      <c r="O18"/>
      <c r="P18"/>
      <c r="Q18"/>
      <c r="S18" s="533"/>
      <c r="T18" s="527"/>
      <c r="U18" s="527"/>
      <c r="V18" s="531"/>
      <c r="W18" s="102"/>
      <c r="AH18" s="532"/>
      <c r="AI18" s="532"/>
    </row>
    <row r="19" spans="1:35" ht="19.5" customHeight="1" x14ac:dyDescent="0.2">
      <c r="A19" s="1996" t="s">
        <v>416</v>
      </c>
      <c r="B19" s="1997"/>
      <c r="C19" s="1998"/>
      <c r="D19" s="1988" t="s">
        <v>76</v>
      </c>
      <c r="E19" s="1556"/>
      <c r="F19" s="534">
        <f>IF(N43+N44-O43-O44&gt;0,N43+N44-O43-O44,0)</f>
        <v>0</v>
      </c>
      <c r="G19" s="1924" t="s">
        <v>77</v>
      </c>
      <c r="H19" s="1556"/>
      <c r="I19" s="534">
        <f>IF(N86+N87-O86-O87&lt;0,O86+O87-N86-N87,0)</f>
        <v>0</v>
      </c>
      <c r="J19" s="529"/>
      <c r="K19" s="2015"/>
      <c r="L19" s="2016"/>
      <c r="M19" s="2016"/>
      <c r="N19" s="2016"/>
      <c r="O19" s="2016"/>
      <c r="P19" s="2016"/>
      <c r="Q19" s="2017"/>
      <c r="S19" s="533"/>
      <c r="T19" s="527"/>
      <c r="U19" s="527"/>
      <c r="V19" s="531"/>
      <c r="W19" s="102"/>
      <c r="AH19" s="532"/>
      <c r="AI19" s="532"/>
    </row>
    <row r="20" spans="1:35" ht="19.5" customHeight="1" x14ac:dyDescent="0.2">
      <c r="A20" s="1524"/>
      <c r="B20" s="1530"/>
      <c r="C20" s="1537"/>
      <c r="D20" s="1917" t="s">
        <v>78</v>
      </c>
      <c r="E20" s="1554"/>
      <c r="F20" s="535">
        <f>N51</f>
        <v>0</v>
      </c>
      <c r="G20" s="1925" t="s">
        <v>79</v>
      </c>
      <c r="H20" s="1554"/>
      <c r="I20" s="535">
        <f>IF(N57+N79-O57-O79&lt;0,O57+O79-N57-N79,0)</f>
        <v>0</v>
      </c>
      <c r="J20" s="529"/>
      <c r="K20" s="2018"/>
      <c r="L20" s="2019"/>
      <c r="M20" s="2019"/>
      <c r="N20" s="2019"/>
      <c r="O20" s="2019"/>
      <c r="P20" s="2019"/>
      <c r="Q20" s="2020"/>
      <c r="S20" s="533"/>
      <c r="T20" s="527"/>
      <c r="U20" s="527"/>
      <c r="V20" s="531"/>
      <c r="W20" s="102"/>
      <c r="AH20" s="532"/>
      <c r="AI20" s="532"/>
    </row>
    <row r="21" spans="1:35" ht="19.5" customHeight="1" x14ac:dyDescent="0.2">
      <c r="A21" s="1524"/>
      <c r="B21" s="1530"/>
      <c r="C21" s="1537"/>
      <c r="D21" s="1917" t="s">
        <v>80</v>
      </c>
      <c r="E21" s="1554"/>
      <c r="F21" s="535">
        <f>IF(SUM(N52,N53,N54,N55,N56,N58,N59,N60,N61)-SUM(O52,O53,O54,O55,O56,O58,O59,O60,O61)&gt;0,SUM(N52,N53,N54,N55,N56,N58,N59,N60,N61)-SUM(O52,O53,O54,O55,O56,O58,O59,O60,O61),0)</f>
        <v>0</v>
      </c>
      <c r="G21" s="1925" t="s">
        <v>83</v>
      </c>
      <c r="H21" s="1554"/>
      <c r="I21" s="535">
        <f>IF(SUM(N89:N95)-SUM(O89:O95)&lt;0,SUM(O89:O95)-SUM(N89:N95),0)</f>
        <v>0</v>
      </c>
      <c r="J21" s="529"/>
      <c r="K21" s="2018"/>
      <c r="L21" s="2019"/>
      <c r="M21" s="2019"/>
      <c r="N21" s="2019"/>
      <c r="O21" s="2019"/>
      <c r="P21" s="2019"/>
      <c r="Q21" s="2020"/>
      <c r="S21" s="533"/>
      <c r="T21" s="527"/>
      <c r="U21" s="527"/>
      <c r="V21" s="531"/>
      <c r="W21" s="102"/>
      <c r="AH21" s="532"/>
      <c r="AI21" s="532"/>
    </row>
    <row r="22" spans="1:35" ht="19.5" customHeight="1" x14ac:dyDescent="0.2">
      <c r="A22" s="1524"/>
      <c r="B22" s="1530"/>
      <c r="C22" s="1537"/>
      <c r="D22" s="1917" t="s">
        <v>81</v>
      </c>
      <c r="E22" s="1554"/>
      <c r="F22" s="535">
        <f>IF(N86+N87-O86-O87&gt;0,N86+N87-O86-O87,0)</f>
        <v>0</v>
      </c>
      <c r="G22" s="1925" t="s">
        <v>85</v>
      </c>
      <c r="H22" s="1554"/>
      <c r="I22" s="535">
        <f>IF(N43+N44-O43-O44&lt;0,O43+O44-N43-N44,0)</f>
        <v>0</v>
      </c>
      <c r="J22" s="529"/>
      <c r="K22" s="2018"/>
      <c r="L22" s="2019"/>
      <c r="M22" s="2019"/>
      <c r="N22" s="2019"/>
      <c r="O22" s="2019"/>
      <c r="P22" s="2019"/>
      <c r="Q22" s="2020"/>
      <c r="S22" s="533"/>
      <c r="T22" s="527"/>
      <c r="U22" s="527"/>
      <c r="V22" s="531"/>
      <c r="W22" s="102"/>
      <c r="AH22" s="532"/>
      <c r="AI22" s="532"/>
    </row>
    <row r="23" spans="1:35" ht="19.5" customHeight="1" x14ac:dyDescent="0.2">
      <c r="A23" s="1524"/>
      <c r="B23" s="1530"/>
      <c r="C23" s="1537"/>
      <c r="D23" s="1917" t="s">
        <v>82</v>
      </c>
      <c r="E23" s="1554"/>
      <c r="F23" s="535">
        <f>IF(SUM(N89:N95)-SUM(O89:O95)&gt;0,SUM(N89:N95)-SUM(O89:O95),0)</f>
        <v>0</v>
      </c>
      <c r="G23" s="1925" t="s">
        <v>86</v>
      </c>
      <c r="H23" s="1554"/>
      <c r="I23" s="535">
        <f>O51</f>
        <v>0</v>
      </c>
      <c r="J23" s="529"/>
      <c r="K23" s="2018"/>
      <c r="L23" s="2019"/>
      <c r="M23" s="2019"/>
      <c r="N23" s="2019"/>
      <c r="O23" s="2019"/>
      <c r="P23" s="2019"/>
      <c r="Q23" s="2020"/>
      <c r="S23" s="533"/>
      <c r="T23" s="527"/>
      <c r="U23" s="527"/>
      <c r="V23" s="531"/>
      <c r="W23" s="102"/>
      <c r="AH23" s="532"/>
      <c r="AI23" s="532"/>
    </row>
    <row r="24" spans="1:35" ht="19.5" customHeight="1" x14ac:dyDescent="0.2">
      <c r="A24" s="1524"/>
      <c r="B24" s="1530"/>
      <c r="C24" s="1537"/>
      <c r="D24" s="1917" t="s">
        <v>84</v>
      </c>
      <c r="E24" s="1554"/>
      <c r="F24" s="535">
        <f>IF(N57+N79-O57-O79&gt;0,N57+N79-O57-O79,0)</f>
        <v>0</v>
      </c>
      <c r="G24" s="1925" t="s">
        <v>88</v>
      </c>
      <c r="H24" s="1554"/>
      <c r="I24" s="535">
        <f>IF(SUM(N52,N53,N54,N55,N56,N58,N59,N60,N61)-SUM(O52,O53,O54,O55,O56,O58,O59,O60,O61)&lt;0,SUM(O52,O53,O54,O55,O56,O58,O59,O60,O61)-SUM(N52,N53,N54,N55,N56,N58,N59,N60,N61),0)</f>
        <v>0</v>
      </c>
      <c r="J24" s="529"/>
      <c r="K24" s="2018"/>
      <c r="L24" s="2019"/>
      <c r="M24" s="2019"/>
      <c r="N24" s="2019"/>
      <c r="O24" s="2019"/>
      <c r="P24" s="2019"/>
      <c r="Q24" s="2020"/>
      <c r="S24" s="533"/>
      <c r="T24" s="527"/>
      <c r="U24" s="527"/>
      <c r="V24" s="531"/>
      <c r="W24" s="102"/>
      <c r="AH24" s="532"/>
      <c r="AI24" s="532"/>
    </row>
    <row r="25" spans="1:35" ht="19.5" customHeight="1" thickBot="1" x14ac:dyDescent="0.25">
      <c r="A25" s="1524"/>
      <c r="B25" s="1530"/>
      <c r="C25" s="1537"/>
      <c r="D25" s="2001" t="s">
        <v>87</v>
      </c>
      <c r="E25" s="1608"/>
      <c r="F25" s="536">
        <f>N45</f>
        <v>0</v>
      </c>
      <c r="G25" s="1903" t="s">
        <v>89</v>
      </c>
      <c r="H25" s="1608"/>
      <c r="I25" s="536">
        <f>O45</f>
        <v>0</v>
      </c>
      <c r="J25" s="529"/>
      <c r="K25" s="2018"/>
      <c r="L25" s="2019"/>
      <c r="M25" s="2019"/>
      <c r="N25" s="2019"/>
      <c r="O25" s="2019"/>
      <c r="P25" s="2019"/>
      <c r="Q25" s="2020"/>
      <c r="S25" s="533"/>
      <c r="T25" s="527"/>
      <c r="U25" s="527"/>
      <c r="V25" s="531"/>
      <c r="W25" s="102"/>
      <c r="AH25" s="532"/>
      <c r="AI25" s="532"/>
    </row>
    <row r="26" spans="1:35" ht="19.5" customHeight="1" thickTop="1" thickBot="1" x14ac:dyDescent="0.25">
      <c r="A26" s="1999"/>
      <c r="B26" s="2000"/>
      <c r="C26" s="2000"/>
      <c r="D26" s="1995" t="s">
        <v>74</v>
      </c>
      <c r="E26" s="1990"/>
      <c r="F26" s="537">
        <f>N125</f>
        <v>0</v>
      </c>
      <c r="G26" s="1989" t="s">
        <v>75</v>
      </c>
      <c r="H26" s="1990"/>
      <c r="I26" s="538">
        <f>O125</f>
        <v>0</v>
      </c>
      <c r="J26" s="529"/>
      <c r="K26" s="2018"/>
      <c r="L26" s="2019"/>
      <c r="M26" s="2019"/>
      <c r="N26" s="2019"/>
      <c r="O26" s="2019"/>
      <c r="P26" s="2019"/>
      <c r="Q26" s="2020"/>
      <c r="S26" s="533"/>
      <c r="T26" s="527"/>
      <c r="U26" s="527"/>
      <c r="V26" s="531"/>
      <c r="W26" s="102"/>
      <c r="AH26" s="532"/>
      <c r="AI26" s="532"/>
    </row>
    <row r="27" spans="1:35" ht="19.5" customHeight="1" thickTop="1" x14ac:dyDescent="0.2">
      <c r="A27" s="542"/>
      <c r="B27" s="542"/>
      <c r="C27" s="542"/>
      <c r="D27" s="1991" t="s">
        <v>40</v>
      </c>
      <c r="E27" s="1750"/>
      <c r="F27" s="539">
        <f>SUM(F19:F26)</f>
        <v>0</v>
      </c>
      <c r="G27" s="1991" t="s">
        <v>40</v>
      </c>
      <c r="H27" s="1750"/>
      <c r="I27" s="539">
        <f>SUM(I19:I26)</f>
        <v>0</v>
      </c>
      <c r="J27" s="529"/>
      <c r="K27" s="2018"/>
      <c r="L27" s="2019"/>
      <c r="M27" s="2019"/>
      <c r="N27" s="2019"/>
      <c r="O27" s="2019"/>
      <c r="P27" s="2019"/>
      <c r="Q27" s="2020"/>
      <c r="S27" s="533"/>
      <c r="T27" s="527"/>
      <c r="U27" s="527"/>
      <c r="V27" s="531"/>
      <c r="W27" s="102"/>
      <c r="AH27" s="532"/>
      <c r="AI27" s="532"/>
    </row>
    <row r="28" spans="1:35" ht="19.5" customHeight="1" x14ac:dyDescent="0.2">
      <c r="A28" s="529"/>
      <c r="B28" s="529"/>
      <c r="C28" s="529"/>
      <c r="D28" s="1992" t="s">
        <v>178</v>
      </c>
      <c r="E28" s="1823"/>
      <c r="F28" s="529">
        <f>I27-F27</f>
        <v>0</v>
      </c>
      <c r="G28" s="529"/>
      <c r="H28" s="38"/>
      <c r="I28" s="529"/>
      <c r="J28" s="529"/>
      <c r="K28" s="2018"/>
      <c r="L28" s="2019"/>
      <c r="M28" s="2019"/>
      <c r="N28" s="2019"/>
      <c r="O28" s="2019"/>
      <c r="P28" s="2019"/>
      <c r="Q28" s="2020"/>
      <c r="S28" s="533"/>
      <c r="T28" s="527"/>
      <c r="U28" s="527"/>
      <c r="V28" s="531"/>
      <c r="W28" s="102"/>
      <c r="AH28" s="532"/>
      <c r="AI28" s="532"/>
    </row>
    <row r="29" spans="1:35" ht="19.5" customHeight="1" thickBot="1" x14ac:dyDescent="0.25">
      <c r="A29" s="529"/>
      <c r="B29" s="529"/>
      <c r="C29" s="529"/>
      <c r="D29" s="529"/>
      <c r="E29" s="38"/>
      <c r="F29" s="529"/>
      <c r="G29" s="529"/>
      <c r="H29" s="38"/>
      <c r="I29" s="529"/>
      <c r="J29" s="529"/>
      <c r="K29" s="2018"/>
      <c r="L29" s="2019"/>
      <c r="M29" s="2019"/>
      <c r="N29" s="2019"/>
      <c r="O29" s="2019"/>
      <c r="P29" s="2019"/>
      <c r="Q29" s="2020"/>
      <c r="S29" s="533"/>
      <c r="T29" s="527"/>
      <c r="U29" s="527"/>
      <c r="V29" s="531"/>
      <c r="W29" s="102"/>
      <c r="AH29" s="532"/>
      <c r="AI29" s="532"/>
    </row>
    <row r="30" spans="1:35" ht="19.5" customHeight="1" thickBot="1" x14ac:dyDescent="0.25">
      <c r="A30" s="1904" t="s">
        <v>413</v>
      </c>
      <c r="B30" s="1905"/>
      <c r="C30" s="1905"/>
      <c r="D30" s="2004" t="s">
        <v>90</v>
      </c>
      <c r="E30" s="2005"/>
      <c r="F30" s="543">
        <f>P42</f>
        <v>0</v>
      </c>
      <c r="G30" s="1988" t="s">
        <v>91</v>
      </c>
      <c r="H30" s="1556"/>
      <c r="I30" s="534">
        <f>Q88</f>
        <v>0</v>
      </c>
      <c r="J30" s="529"/>
      <c r="K30" s="2018"/>
      <c r="L30" s="2019"/>
      <c r="M30" s="2019"/>
      <c r="N30" s="2019"/>
      <c r="O30" s="2019"/>
      <c r="P30" s="2019"/>
      <c r="Q30" s="2020"/>
      <c r="S30" s="533"/>
      <c r="T30" s="527"/>
      <c r="U30" s="527"/>
      <c r="V30" s="531"/>
      <c r="W30" s="102"/>
      <c r="AH30" s="532"/>
      <c r="AI30" s="532"/>
    </row>
    <row r="31" spans="1:35" ht="19.5" customHeight="1" thickBot="1" x14ac:dyDescent="0.25">
      <c r="A31" s="1906"/>
      <c r="B31" s="1907"/>
      <c r="C31" s="1908"/>
      <c r="D31" s="2010" t="s">
        <v>92</v>
      </c>
      <c r="E31" s="1610"/>
      <c r="F31" s="544">
        <f>P88</f>
        <v>0</v>
      </c>
      <c r="G31" s="1903" t="s">
        <v>141</v>
      </c>
      <c r="H31" s="1608"/>
      <c r="I31" s="536">
        <f>Q117</f>
        <v>0</v>
      </c>
      <c r="J31" s="529"/>
      <c r="K31" s="2018"/>
      <c r="L31" s="2019"/>
      <c r="M31" s="2019"/>
      <c r="N31" s="2019"/>
      <c r="O31" s="2019"/>
      <c r="P31" s="2019"/>
      <c r="Q31" s="2020"/>
      <c r="S31" s="533"/>
      <c r="T31" s="527"/>
      <c r="U31" s="527"/>
      <c r="V31" s="531"/>
      <c r="W31" s="102"/>
      <c r="AH31" s="532"/>
      <c r="AI31" s="532"/>
    </row>
    <row r="32" spans="1:35" ht="19.5" customHeight="1" thickBot="1" x14ac:dyDescent="0.25">
      <c r="A32" s="1906"/>
      <c r="B32" s="1907"/>
      <c r="C32" s="1908"/>
      <c r="D32" s="1903" t="s">
        <v>142</v>
      </c>
      <c r="E32" s="1608"/>
      <c r="F32" s="545">
        <f>P117</f>
        <v>0</v>
      </c>
      <c r="G32" s="2004" t="s">
        <v>93</v>
      </c>
      <c r="H32" s="2005"/>
      <c r="I32" s="543">
        <f>Q42</f>
        <v>0</v>
      </c>
      <c r="J32" s="529"/>
      <c r="K32" s="2018"/>
      <c r="L32" s="2019"/>
      <c r="M32" s="2019"/>
      <c r="N32" s="2019"/>
      <c r="O32" s="2019"/>
      <c r="P32" s="2019"/>
      <c r="Q32" s="2020"/>
      <c r="S32" s="533"/>
      <c r="T32" s="527"/>
      <c r="U32" s="527"/>
      <c r="V32" s="531"/>
      <c r="W32" s="102"/>
      <c r="AH32" s="532"/>
      <c r="AI32" s="532"/>
    </row>
    <row r="33" spans="1:35" ht="19.5" customHeight="1" x14ac:dyDescent="0.2">
      <c r="A33" s="1906"/>
      <c r="B33" s="1907"/>
      <c r="C33" s="1907"/>
      <c r="D33" s="2011" t="s">
        <v>94</v>
      </c>
      <c r="E33" s="2007"/>
      <c r="F33" s="546">
        <f>I15</f>
        <v>0</v>
      </c>
      <c r="G33" s="2006" t="s">
        <v>95</v>
      </c>
      <c r="H33" s="2007"/>
      <c r="I33" s="547">
        <f>F15</f>
        <v>0</v>
      </c>
      <c r="J33" s="529"/>
      <c r="K33" s="2018"/>
      <c r="L33" s="2019"/>
      <c r="M33" s="2019"/>
      <c r="N33" s="2019"/>
      <c r="O33" s="2019"/>
      <c r="P33" s="2019"/>
      <c r="Q33" s="2020"/>
      <c r="S33" s="533"/>
      <c r="T33" s="527"/>
      <c r="U33" s="527"/>
      <c r="V33" s="531"/>
      <c r="W33" s="102"/>
      <c r="AH33" s="532"/>
      <c r="AI33" s="532"/>
    </row>
    <row r="34" spans="1:35" ht="19.5" customHeight="1" thickBot="1" x14ac:dyDescent="0.25">
      <c r="A34" s="1909"/>
      <c r="B34" s="1910"/>
      <c r="C34" s="1910"/>
      <c r="D34" s="2012" t="s">
        <v>96</v>
      </c>
      <c r="E34" s="2009"/>
      <c r="F34" s="548">
        <f>I26</f>
        <v>0</v>
      </c>
      <c r="G34" s="2008" t="s">
        <v>97</v>
      </c>
      <c r="H34" s="2009"/>
      <c r="I34" s="549">
        <f>F26</f>
        <v>0</v>
      </c>
      <c r="J34" s="529"/>
      <c r="K34" s="2018"/>
      <c r="L34" s="2019"/>
      <c r="M34" s="2019"/>
      <c r="N34" s="2019"/>
      <c r="O34" s="2019"/>
      <c r="P34" s="2019"/>
      <c r="Q34" s="2020"/>
      <c r="S34" s="533"/>
      <c r="T34" s="527"/>
      <c r="U34" s="527"/>
      <c r="V34" s="531"/>
      <c r="W34" s="102"/>
      <c r="AH34" s="532"/>
      <c r="AI34" s="532"/>
    </row>
    <row r="35" spans="1:35" ht="19.5" customHeight="1" thickBot="1" x14ac:dyDescent="0.25">
      <c r="A35" s="529"/>
      <c r="B35" s="529"/>
      <c r="C35" s="529"/>
      <c r="D35" s="1991" t="s">
        <v>40</v>
      </c>
      <c r="E35" s="2003"/>
      <c r="F35" s="539">
        <f>SUM(F30:F34)</f>
        <v>0</v>
      </c>
      <c r="G35" s="1991" t="s">
        <v>40</v>
      </c>
      <c r="H35" s="2003"/>
      <c r="I35" s="539">
        <f>SUM(I30:I34)</f>
        <v>0</v>
      </c>
      <c r="J35" s="529"/>
      <c r="K35" s="2021"/>
      <c r="L35" s="2022"/>
      <c r="M35" s="2022"/>
      <c r="N35" s="2022"/>
      <c r="O35" s="2022"/>
      <c r="P35" s="2022"/>
      <c r="Q35" s="2023"/>
      <c r="S35" s="533"/>
      <c r="T35" s="527"/>
      <c r="U35" s="527"/>
      <c r="V35" s="531"/>
      <c r="W35" s="102"/>
      <c r="AH35" s="532"/>
      <c r="AI35" s="532"/>
    </row>
    <row r="36" spans="1:35" ht="19.5" customHeight="1" x14ac:dyDescent="0.2">
      <c r="A36" s="529"/>
      <c r="B36" s="529"/>
      <c r="C36" s="529"/>
      <c r="D36" s="1992" t="s">
        <v>178</v>
      </c>
      <c r="E36" s="1823"/>
      <c r="F36" s="529">
        <f>I35-F35</f>
        <v>0</v>
      </c>
      <c r="G36" s="529"/>
      <c r="H36" s="38"/>
      <c r="I36" s="529"/>
      <c r="J36" s="529"/>
      <c r="K36" s="529"/>
      <c r="S36" s="533"/>
      <c r="T36" s="527"/>
      <c r="U36" s="527"/>
      <c r="V36" s="531"/>
      <c r="W36" s="102"/>
      <c r="AH36" s="532"/>
      <c r="AI36" s="532"/>
    </row>
    <row r="37" spans="1:35" ht="19.5" customHeight="1" x14ac:dyDescent="0.2">
      <c r="A37" s="529"/>
      <c r="B37" s="529"/>
      <c r="C37" s="529"/>
      <c r="D37" s="1894" t="s">
        <v>98</v>
      </c>
      <c r="E37" s="1523"/>
      <c r="F37" s="529">
        <f>F35-P126</f>
        <v>0</v>
      </c>
      <c r="G37" s="529"/>
      <c r="H37" s="38"/>
      <c r="I37" s="529">
        <f>I35-Q126</f>
        <v>0</v>
      </c>
      <c r="J37" s="529"/>
      <c r="K37" s="529"/>
      <c r="S37" s="533"/>
      <c r="T37" s="527"/>
      <c r="U37" s="527"/>
      <c r="V37" s="531"/>
      <c r="W37" s="102"/>
      <c r="AH37" s="532"/>
      <c r="AI37" s="532"/>
    </row>
    <row r="38" spans="1:35" ht="16.2" x14ac:dyDescent="0.2">
      <c r="A38" s="320"/>
      <c r="P38" s="532"/>
      <c r="Q38" s="532"/>
      <c r="S38" s="533"/>
      <c r="T38" s="527"/>
      <c r="U38" s="527"/>
      <c r="V38" s="531"/>
      <c r="W38" s="102"/>
      <c r="AH38" s="532"/>
      <c r="AI38" s="532"/>
    </row>
    <row r="39" spans="1:35" ht="18" customHeight="1" x14ac:dyDescent="0.2">
      <c r="A39" s="98" t="s">
        <v>407</v>
      </c>
      <c r="E39" s="4"/>
      <c r="P39" s="532"/>
      <c r="Q39" s="532"/>
    </row>
    <row r="40" spans="1:35" ht="12.75" customHeight="1" x14ac:dyDescent="0.2">
      <c r="A40" s="2002" t="str">
        <f>'財務諸表（入力）'!A4</f>
        <v>項目</v>
      </c>
      <c r="B40" s="1970"/>
      <c r="C40" s="1970"/>
      <c r="D40" s="1971"/>
      <c r="E40" s="550" t="str">
        <f>'財務諸表（入力）'!E4</f>
        <v>2020年2月1日～
2021年1月31日</v>
      </c>
      <c r="F40" s="550" t="str">
        <f>'財務諸表（入力）'!G4</f>
        <v>2021年2月1日～2022年1月31日</v>
      </c>
      <c r="G40" s="1975" t="s">
        <v>29</v>
      </c>
      <c r="H40" s="1964" t="s">
        <v>61</v>
      </c>
      <c r="I40" s="1965"/>
      <c r="J40" s="1966" t="s">
        <v>406</v>
      </c>
      <c r="K40" s="1965"/>
      <c r="L40" s="2026" t="s">
        <v>62</v>
      </c>
      <c r="M40" s="2027"/>
      <c r="N40" s="2028" t="s">
        <v>63</v>
      </c>
      <c r="O40" s="2027"/>
      <c r="P40" s="2029" t="s">
        <v>64</v>
      </c>
      <c r="Q40" s="2030"/>
    </row>
    <row r="41" spans="1:35" ht="12.75" customHeight="1" x14ac:dyDescent="0.2">
      <c r="A41" s="1972"/>
      <c r="B41" s="1973"/>
      <c r="C41" s="1973"/>
      <c r="D41" s="1974"/>
      <c r="E41" s="552" t="str">
        <f>'財務諸表（入力）'!E5</f>
        <v>前々期</v>
      </c>
      <c r="F41" s="553" t="str">
        <f>'財務諸表（入力）'!G5</f>
        <v>前期</v>
      </c>
      <c r="G41" s="1976"/>
      <c r="H41" s="554" t="s">
        <v>66</v>
      </c>
      <c r="I41" s="553" t="s">
        <v>67</v>
      </c>
      <c r="J41" s="551" t="s">
        <v>66</v>
      </c>
      <c r="K41" s="553" t="s">
        <v>67</v>
      </c>
      <c r="L41" s="555" t="s">
        <v>68</v>
      </c>
      <c r="M41" s="556" t="s">
        <v>69</v>
      </c>
      <c r="N41" s="557" t="s">
        <v>68</v>
      </c>
      <c r="O41" s="558" t="s">
        <v>69</v>
      </c>
      <c r="P41" s="559" t="s">
        <v>68</v>
      </c>
      <c r="Q41" s="560" t="s">
        <v>69</v>
      </c>
    </row>
    <row r="42" spans="1:35" ht="12.75" customHeight="1" x14ac:dyDescent="0.2">
      <c r="A42" s="1946" t="s">
        <v>385</v>
      </c>
      <c r="B42" s="1946" t="s">
        <v>287</v>
      </c>
      <c r="C42" s="1929" t="s">
        <v>197</v>
      </c>
      <c r="D42" s="561" t="str">
        <f>'財務諸表（入力）'!D6</f>
        <v>現金・預金</v>
      </c>
      <c r="E42" s="562">
        <f>'財務諸表（入力）'!E6</f>
        <v>0</v>
      </c>
      <c r="F42" s="563">
        <f>'財務諸表（入力）'!G6</f>
        <v>0</v>
      </c>
      <c r="G42" s="564">
        <f>F42-E42</f>
        <v>0</v>
      </c>
      <c r="H42" s="562">
        <f>IF(G42&gt;1,SUM(G42:G42),0)</f>
        <v>0</v>
      </c>
      <c r="I42" s="563">
        <f>IF(G42&lt;1,SUM(G42:G42)*-1,0)</f>
        <v>0</v>
      </c>
      <c r="J42" s="565"/>
      <c r="K42" s="563"/>
      <c r="L42" s="693"/>
      <c r="M42" s="694"/>
      <c r="N42" s="750" t="s">
        <v>231</v>
      </c>
      <c r="O42" s="751" t="s">
        <v>231</v>
      </c>
      <c r="P42" s="752">
        <f>H42</f>
        <v>0</v>
      </c>
      <c r="Q42" s="306">
        <f>I42</f>
        <v>0</v>
      </c>
    </row>
    <row r="43" spans="1:35" ht="12.75" customHeight="1" x14ac:dyDescent="0.2">
      <c r="A43" s="1914"/>
      <c r="B43" s="1914"/>
      <c r="C43" s="1930"/>
      <c r="D43" s="296" t="str">
        <f>'財務諸表（入力）'!D9</f>
        <v>売掛金</v>
      </c>
      <c r="E43" s="567">
        <f>'財務諸表（入力）'!E9</f>
        <v>0</v>
      </c>
      <c r="F43" s="568">
        <f>'財務諸表（入力）'!G9</f>
        <v>0</v>
      </c>
      <c r="G43" s="569">
        <f>F43-E43</f>
        <v>0</v>
      </c>
      <c r="H43" s="567">
        <f>IF(G43&gt;1,SUM(G43:G43),0)</f>
        <v>0</v>
      </c>
      <c r="I43" s="568">
        <f>IF(G43&lt;1,SUM(G43:G43)*-1,0)</f>
        <v>0</v>
      </c>
      <c r="J43" s="570"/>
      <c r="K43" s="568"/>
      <c r="L43" s="695"/>
      <c r="M43" s="696"/>
      <c r="N43" s="600">
        <f t="shared" ref="N43:O45" si="0">H43</f>
        <v>0</v>
      </c>
      <c r="O43" s="572">
        <f t="shared" si="0"/>
        <v>0</v>
      </c>
      <c r="P43" s="704"/>
      <c r="Q43" s="705"/>
    </row>
    <row r="44" spans="1:35" ht="12.75" customHeight="1" x14ac:dyDescent="0.2">
      <c r="A44" s="1914"/>
      <c r="B44" s="1914"/>
      <c r="C44" s="1930"/>
      <c r="D44" s="296" t="str">
        <f>'財務諸表（入力）'!D8</f>
        <v>受取手形</v>
      </c>
      <c r="E44" s="567">
        <f>'財務諸表（入力）'!E8</f>
        <v>0</v>
      </c>
      <c r="F44" s="568">
        <f>'財務諸表（入力）'!G8</f>
        <v>0</v>
      </c>
      <c r="G44" s="569">
        <f>F44-E44</f>
        <v>0</v>
      </c>
      <c r="H44" s="567">
        <f>IF(G44&gt;1,SUM(G44:G44),0)</f>
        <v>0</v>
      </c>
      <c r="I44" s="568">
        <f>IF(G44&lt;1,SUM(G44:G44)*-1,0)</f>
        <v>0</v>
      </c>
      <c r="J44" s="570">
        <f>K117</f>
        <v>0</v>
      </c>
      <c r="K44" s="568">
        <f>J117</f>
        <v>0</v>
      </c>
      <c r="L44" s="695"/>
      <c r="M44" s="697"/>
      <c r="N44" s="600">
        <f>H44+J44</f>
        <v>0</v>
      </c>
      <c r="O44" s="572">
        <f>I44+K44</f>
        <v>0</v>
      </c>
      <c r="P44" s="706"/>
      <c r="Q44" s="705"/>
    </row>
    <row r="45" spans="1:35" ht="12.75" customHeight="1" x14ac:dyDescent="0.2">
      <c r="A45" s="1914"/>
      <c r="B45" s="1914"/>
      <c r="C45" s="1930"/>
      <c r="D45" s="574">
        <f>'財務諸表（入力）'!D10</f>
        <v>0</v>
      </c>
      <c r="E45" s="575">
        <f>'財務諸表（入力）'!E10</f>
        <v>0</v>
      </c>
      <c r="F45" s="350">
        <f>'財務諸表（入力）'!G10</f>
        <v>0</v>
      </c>
      <c r="G45" s="576">
        <f>F45-E45</f>
        <v>0</v>
      </c>
      <c r="H45" s="575">
        <f>IF(G45&gt;1,SUM(G45:G45),0)</f>
        <v>0</v>
      </c>
      <c r="I45" s="350">
        <f>IF(G45&lt;1,SUM(G45:G45)*-1,0)</f>
        <v>0</v>
      </c>
      <c r="J45" s="577"/>
      <c r="K45" s="350"/>
      <c r="L45" s="698"/>
      <c r="M45" s="699"/>
      <c r="N45" s="601">
        <f t="shared" si="0"/>
        <v>0</v>
      </c>
      <c r="O45" s="579">
        <f t="shared" si="0"/>
        <v>0</v>
      </c>
      <c r="P45" s="707"/>
      <c r="Q45" s="708"/>
    </row>
    <row r="46" spans="1:35" ht="12.75" customHeight="1" x14ac:dyDescent="0.2">
      <c r="A46" s="1914"/>
      <c r="B46" s="1914"/>
      <c r="C46" s="1890" t="s">
        <v>382</v>
      </c>
      <c r="D46" s="1705"/>
      <c r="E46" s="580">
        <f>SUM(E42:E45)</f>
        <v>0</v>
      </c>
      <c r="F46" s="581">
        <f>SUM(F42:F45)</f>
        <v>0</v>
      </c>
      <c r="G46" s="582">
        <f>SUM(G42:G45)</f>
        <v>0</v>
      </c>
      <c r="H46" s="580">
        <f>SUM(H42:H45)</f>
        <v>0</v>
      </c>
      <c r="I46" s="581">
        <f>SUM(I42:I45)</f>
        <v>0</v>
      </c>
      <c r="J46" s="583"/>
      <c r="K46" s="338"/>
      <c r="L46" s="700"/>
      <c r="M46" s="701"/>
      <c r="N46" s="753" t="s">
        <v>396</v>
      </c>
      <c r="O46" s="754" t="s">
        <v>231</v>
      </c>
      <c r="P46" s="709"/>
      <c r="Q46" s="710"/>
    </row>
    <row r="47" spans="1:35" ht="12.75" customHeight="1" x14ac:dyDescent="0.2">
      <c r="A47" s="1914"/>
      <c r="B47" s="1914"/>
      <c r="C47" s="1887" t="s">
        <v>161</v>
      </c>
      <c r="D47" s="288" t="str">
        <f>'財務諸表（入力）'!D12</f>
        <v>製品・商品</v>
      </c>
      <c r="E47" s="586">
        <f>'財務諸表（入力）'!E12</f>
        <v>0</v>
      </c>
      <c r="F47" s="587">
        <f>'財務諸表（入力）'!G12</f>
        <v>0</v>
      </c>
      <c r="G47" s="588">
        <f>F47-E47</f>
        <v>0</v>
      </c>
      <c r="H47" s="586">
        <f>IF(G47&gt;1,SUM(G47:G47),0)</f>
        <v>0</v>
      </c>
      <c r="I47" s="587">
        <f>IF(G47&lt;1,SUM(G47:G47)*-1,0)</f>
        <v>0</v>
      </c>
      <c r="J47" s="589"/>
      <c r="K47" s="587"/>
      <c r="L47" s="702"/>
      <c r="M47" s="703"/>
      <c r="N47" s="755" t="s">
        <v>231</v>
      </c>
      <c r="O47" s="756" t="s">
        <v>231</v>
      </c>
      <c r="P47" s="711"/>
      <c r="Q47" s="712"/>
    </row>
    <row r="48" spans="1:35" ht="12.75" customHeight="1" x14ac:dyDescent="0.2">
      <c r="A48" s="1914"/>
      <c r="B48" s="1914"/>
      <c r="C48" s="1926"/>
      <c r="D48" s="592" t="str">
        <f>'財務諸表（入力）'!D13</f>
        <v>原材料</v>
      </c>
      <c r="E48" s="567">
        <f>'財務諸表（入力）'!E13</f>
        <v>0</v>
      </c>
      <c r="F48" s="568">
        <f>'財務諸表（入力）'!G13</f>
        <v>0</v>
      </c>
      <c r="G48" s="569">
        <f>F48-E48</f>
        <v>0</v>
      </c>
      <c r="H48" s="567">
        <f>IF(G48&gt;1,SUM(G48:G48),0)</f>
        <v>0</v>
      </c>
      <c r="I48" s="568">
        <f>IF(G48&lt;1,SUM(G48:G48)*-1,0)</f>
        <v>0</v>
      </c>
      <c r="J48" s="570"/>
      <c r="K48" s="568"/>
      <c r="L48" s="695"/>
      <c r="M48" s="696"/>
      <c r="N48" s="757" t="s">
        <v>231</v>
      </c>
      <c r="O48" s="758" t="s">
        <v>231</v>
      </c>
      <c r="P48" s="706"/>
      <c r="Q48" s="705"/>
    </row>
    <row r="49" spans="1:17" ht="12.75" customHeight="1" x14ac:dyDescent="0.2">
      <c r="A49" s="1914"/>
      <c r="B49" s="1914"/>
      <c r="C49" s="1926"/>
      <c r="D49" s="592" t="str">
        <f>'財務諸表（入力）'!D14</f>
        <v>仕掛品</v>
      </c>
      <c r="E49" s="567">
        <f>'財務諸表（入力）'!E14</f>
        <v>0</v>
      </c>
      <c r="F49" s="568">
        <f>'財務諸表（入力）'!G14</f>
        <v>0</v>
      </c>
      <c r="G49" s="569">
        <f>F49-E49</f>
        <v>0</v>
      </c>
      <c r="H49" s="567">
        <f>IF(G49&gt;1,SUM(G49:G49),0)</f>
        <v>0</v>
      </c>
      <c r="I49" s="568">
        <f>IF(G49&lt;1,SUM(G49:G49)*-1,0)</f>
        <v>0</v>
      </c>
      <c r="J49" s="570"/>
      <c r="K49" s="568"/>
      <c r="L49" s="695"/>
      <c r="M49" s="696"/>
      <c r="N49" s="757" t="s">
        <v>231</v>
      </c>
      <c r="O49" s="758" t="s">
        <v>231</v>
      </c>
      <c r="P49" s="706"/>
      <c r="Q49" s="713"/>
    </row>
    <row r="50" spans="1:17" ht="12.75" customHeight="1" x14ac:dyDescent="0.2">
      <c r="A50" s="1914"/>
      <c r="B50" s="1914"/>
      <c r="C50" s="1926"/>
      <c r="D50" s="592" t="str">
        <f>'財務諸表（入力）'!D15</f>
        <v xml:space="preserve"> </v>
      </c>
      <c r="E50" s="567">
        <f>'財務諸表（入力）'!E15</f>
        <v>0</v>
      </c>
      <c r="F50" s="568">
        <f>'財務諸表（入力）'!G15</f>
        <v>0</v>
      </c>
      <c r="G50" s="569">
        <f>F50-E50</f>
        <v>0</v>
      </c>
      <c r="H50" s="567">
        <f>IF(G50&gt;1,SUM(G50:G50),0)</f>
        <v>0</v>
      </c>
      <c r="I50" s="568">
        <f>IF(G50&lt;1,SUM(G50:G50)*-1,0)</f>
        <v>0</v>
      </c>
      <c r="J50" s="570"/>
      <c r="K50" s="568"/>
      <c r="L50" s="695"/>
      <c r="M50" s="696"/>
      <c r="N50" s="757" t="s">
        <v>231</v>
      </c>
      <c r="O50" s="758" t="s">
        <v>231</v>
      </c>
      <c r="P50" s="704"/>
      <c r="Q50" s="705"/>
    </row>
    <row r="51" spans="1:17" ht="12.75" customHeight="1" x14ac:dyDescent="0.2">
      <c r="A51" s="1914"/>
      <c r="B51" s="1914"/>
      <c r="C51" s="1890" t="s">
        <v>204</v>
      </c>
      <c r="D51" s="1705"/>
      <c r="E51" s="580">
        <f>SUM(E47:E50)</f>
        <v>0</v>
      </c>
      <c r="F51" s="581">
        <f>SUM(F47:F50)</f>
        <v>0</v>
      </c>
      <c r="G51" s="582">
        <f>SUM(G47:G50)</f>
        <v>0</v>
      </c>
      <c r="H51" s="580">
        <f>SUM(H47:H50)</f>
        <v>0</v>
      </c>
      <c r="I51" s="581">
        <f>SUM(I47:I50)</f>
        <v>0</v>
      </c>
      <c r="J51" s="583"/>
      <c r="K51" s="338"/>
      <c r="L51" s="700"/>
      <c r="M51" s="701"/>
      <c r="N51" s="603">
        <f>IF(H51-I51&gt;0,H51-I51,0)</f>
        <v>0</v>
      </c>
      <c r="O51" s="585">
        <f>IF(H51-I51&lt;0,I51-H51,0)</f>
        <v>0</v>
      </c>
      <c r="P51" s="714"/>
      <c r="Q51" s="715"/>
    </row>
    <row r="52" spans="1:17" ht="12.75" customHeight="1" x14ac:dyDescent="0.2">
      <c r="A52" s="1914"/>
      <c r="B52" s="1914"/>
      <c r="C52" s="1887" t="s">
        <v>199</v>
      </c>
      <c r="D52" s="288">
        <f>'財務諸表（入力）'!D17</f>
        <v>0</v>
      </c>
      <c r="E52" s="586">
        <f>'財務諸表（入力）'!E17</f>
        <v>0</v>
      </c>
      <c r="F52" s="587">
        <f>'財務諸表（入力）'!G17</f>
        <v>0</v>
      </c>
      <c r="G52" s="588">
        <f t="shared" ref="G52:G86" si="1">F52-E52</f>
        <v>0</v>
      </c>
      <c r="H52" s="586">
        <f t="shared" ref="H52:H61" si="2">IF(G52&gt;1,SUM(G52:G52),0)</f>
        <v>0</v>
      </c>
      <c r="I52" s="587">
        <f t="shared" ref="I52:I61" si="3">IF(G52&lt;1,SUM(G52:G52)*-1,0)</f>
        <v>0</v>
      </c>
      <c r="J52" s="589"/>
      <c r="K52" s="587"/>
      <c r="L52" s="702"/>
      <c r="M52" s="703"/>
      <c r="N52" s="607">
        <f t="shared" ref="N52:O56" si="4">H52</f>
        <v>0</v>
      </c>
      <c r="O52" s="591">
        <f t="shared" si="4"/>
        <v>0</v>
      </c>
      <c r="P52" s="711"/>
      <c r="Q52" s="716"/>
    </row>
    <row r="53" spans="1:17" ht="12.75" customHeight="1" x14ac:dyDescent="0.2">
      <c r="A53" s="1914"/>
      <c r="B53" s="1914"/>
      <c r="C53" s="1926"/>
      <c r="D53" s="593">
        <f>'財務諸表（入力）'!D22</f>
        <v>0</v>
      </c>
      <c r="E53" s="567">
        <f>'財務諸表（入力）'!E22</f>
        <v>0</v>
      </c>
      <c r="F53" s="568">
        <f>'財務諸表（入力）'!G22</f>
        <v>0</v>
      </c>
      <c r="G53" s="569">
        <f t="shared" si="1"/>
        <v>0</v>
      </c>
      <c r="H53" s="567">
        <f t="shared" si="2"/>
        <v>0</v>
      </c>
      <c r="I53" s="568">
        <f t="shared" si="3"/>
        <v>0</v>
      </c>
      <c r="J53" s="570"/>
      <c r="K53" s="568"/>
      <c r="L53" s="695"/>
      <c r="M53" s="696"/>
      <c r="N53" s="600">
        <f t="shared" si="4"/>
        <v>0</v>
      </c>
      <c r="O53" s="572">
        <f t="shared" si="4"/>
        <v>0</v>
      </c>
      <c r="P53" s="706"/>
      <c r="Q53" s="705"/>
    </row>
    <row r="54" spans="1:17" ht="12.75" customHeight="1" x14ac:dyDescent="0.2">
      <c r="A54" s="1914"/>
      <c r="B54" s="1914"/>
      <c r="C54" s="1926"/>
      <c r="D54" s="592">
        <f>'財務諸表（入力）'!D18</f>
        <v>0</v>
      </c>
      <c r="E54" s="567">
        <f>'財務諸表（入力）'!E18</f>
        <v>0</v>
      </c>
      <c r="F54" s="568">
        <f>'財務諸表（入力）'!G18</f>
        <v>0</v>
      </c>
      <c r="G54" s="569">
        <f t="shared" si="1"/>
        <v>0</v>
      </c>
      <c r="H54" s="567">
        <f t="shared" si="2"/>
        <v>0</v>
      </c>
      <c r="I54" s="568">
        <f t="shared" si="3"/>
        <v>0</v>
      </c>
      <c r="J54" s="570"/>
      <c r="K54" s="568"/>
      <c r="L54" s="695"/>
      <c r="M54" s="696"/>
      <c r="N54" s="600">
        <f t="shared" si="4"/>
        <v>0</v>
      </c>
      <c r="O54" s="572">
        <f t="shared" si="4"/>
        <v>0</v>
      </c>
      <c r="P54" s="706"/>
      <c r="Q54" s="713"/>
    </row>
    <row r="55" spans="1:17" ht="12.75" customHeight="1" x14ac:dyDescent="0.2">
      <c r="A55" s="1914"/>
      <c r="B55" s="1914"/>
      <c r="C55" s="1926"/>
      <c r="D55" s="592">
        <f>'財務諸表（入力）'!D23</f>
        <v>0</v>
      </c>
      <c r="E55" s="567">
        <f>'財務諸表（入力）'!E23</f>
        <v>0</v>
      </c>
      <c r="F55" s="568">
        <f>'財務諸表（入力）'!G23</f>
        <v>0</v>
      </c>
      <c r="G55" s="569">
        <f t="shared" si="1"/>
        <v>0</v>
      </c>
      <c r="H55" s="567">
        <f t="shared" si="2"/>
        <v>0</v>
      </c>
      <c r="I55" s="568">
        <f t="shared" si="3"/>
        <v>0</v>
      </c>
      <c r="J55" s="570"/>
      <c r="K55" s="568"/>
      <c r="L55" s="695"/>
      <c r="M55" s="696"/>
      <c r="N55" s="600">
        <f t="shared" si="4"/>
        <v>0</v>
      </c>
      <c r="O55" s="572">
        <f t="shared" si="4"/>
        <v>0</v>
      </c>
      <c r="P55" s="706"/>
      <c r="Q55" s="713"/>
    </row>
    <row r="56" spans="1:17" ht="12.75" customHeight="1" x14ac:dyDescent="0.2">
      <c r="A56" s="1914"/>
      <c r="B56" s="1914"/>
      <c r="C56" s="1926"/>
      <c r="D56" s="592">
        <f>'財務諸表（入力）'!D19</f>
        <v>0</v>
      </c>
      <c r="E56" s="567">
        <f>'財務諸表（入力）'!E19</f>
        <v>0</v>
      </c>
      <c r="F56" s="568">
        <f>'財務諸表（入力）'!G19</f>
        <v>0</v>
      </c>
      <c r="G56" s="569">
        <f t="shared" si="1"/>
        <v>0</v>
      </c>
      <c r="H56" s="567">
        <f t="shared" si="2"/>
        <v>0</v>
      </c>
      <c r="I56" s="568">
        <f t="shared" si="3"/>
        <v>0</v>
      </c>
      <c r="J56" s="570"/>
      <c r="K56" s="568"/>
      <c r="L56" s="695"/>
      <c r="M56" s="696"/>
      <c r="N56" s="600">
        <f t="shared" si="4"/>
        <v>0</v>
      </c>
      <c r="O56" s="572">
        <f t="shared" si="4"/>
        <v>0</v>
      </c>
      <c r="P56" s="706"/>
      <c r="Q56" s="713"/>
    </row>
    <row r="57" spans="1:17" ht="12.75" customHeight="1" x14ac:dyDescent="0.2">
      <c r="A57" s="1914"/>
      <c r="B57" s="1914"/>
      <c r="C57" s="1926"/>
      <c r="D57" s="592" t="str">
        <f>'財務諸表（入力）'!D25</f>
        <v>貸倒引当金（▲）</v>
      </c>
      <c r="E57" s="567">
        <f>'財務諸表（入力）'!E25</f>
        <v>0</v>
      </c>
      <c r="F57" s="568">
        <f>'財務諸表（入力）'!G25</f>
        <v>0</v>
      </c>
      <c r="G57" s="569">
        <f t="shared" si="1"/>
        <v>0</v>
      </c>
      <c r="H57" s="567">
        <f t="shared" si="2"/>
        <v>0</v>
      </c>
      <c r="I57" s="568">
        <f t="shared" si="3"/>
        <v>0</v>
      </c>
      <c r="J57" s="570"/>
      <c r="K57" s="568"/>
      <c r="L57" s="695"/>
      <c r="M57" s="696"/>
      <c r="N57" s="600">
        <f t="shared" ref="N57:O61" si="5">H57</f>
        <v>0</v>
      </c>
      <c r="O57" s="572">
        <f t="shared" si="5"/>
        <v>0</v>
      </c>
      <c r="P57" s="706"/>
      <c r="Q57" s="705"/>
    </row>
    <row r="58" spans="1:17" ht="12.75" customHeight="1" x14ac:dyDescent="0.2">
      <c r="A58" s="1914"/>
      <c r="B58" s="1914"/>
      <c r="C58" s="1926"/>
      <c r="D58" s="592">
        <f>'財務諸表（入力）'!D24</f>
        <v>0</v>
      </c>
      <c r="E58" s="567">
        <f>'財務諸表（入力）'!E24</f>
        <v>0</v>
      </c>
      <c r="F58" s="568">
        <f>'財務諸表（入力）'!G24</f>
        <v>0</v>
      </c>
      <c r="G58" s="569">
        <f t="shared" si="1"/>
        <v>0</v>
      </c>
      <c r="H58" s="567">
        <f t="shared" si="2"/>
        <v>0</v>
      </c>
      <c r="I58" s="568">
        <f t="shared" si="3"/>
        <v>0</v>
      </c>
      <c r="J58" s="570"/>
      <c r="K58" s="568"/>
      <c r="L58" s="695"/>
      <c r="M58" s="696"/>
      <c r="N58" s="600">
        <f t="shared" si="5"/>
        <v>0</v>
      </c>
      <c r="O58" s="572">
        <f t="shared" si="5"/>
        <v>0</v>
      </c>
      <c r="P58" s="706"/>
      <c r="Q58" s="705"/>
    </row>
    <row r="59" spans="1:17" ht="12.75" customHeight="1" x14ac:dyDescent="0.2">
      <c r="A59" s="1914"/>
      <c r="B59" s="1914"/>
      <c r="C59" s="1926"/>
      <c r="D59" s="593">
        <f>'財務諸表（入力）'!D20</f>
        <v>0</v>
      </c>
      <c r="E59" s="567">
        <f>'財務諸表（入力）'!E20</f>
        <v>0</v>
      </c>
      <c r="F59" s="568">
        <f>'財務諸表（入力）'!G20</f>
        <v>0</v>
      </c>
      <c r="G59" s="569">
        <f t="shared" si="1"/>
        <v>0</v>
      </c>
      <c r="H59" s="567">
        <f t="shared" si="2"/>
        <v>0</v>
      </c>
      <c r="I59" s="568">
        <f t="shared" si="3"/>
        <v>0</v>
      </c>
      <c r="J59" s="570"/>
      <c r="K59" s="568"/>
      <c r="L59" s="695"/>
      <c r="M59" s="696"/>
      <c r="N59" s="600">
        <f t="shared" si="5"/>
        <v>0</v>
      </c>
      <c r="O59" s="572">
        <f t="shared" si="5"/>
        <v>0</v>
      </c>
      <c r="P59" s="706"/>
      <c r="Q59" s="705"/>
    </row>
    <row r="60" spans="1:17" ht="12.75" customHeight="1" x14ac:dyDescent="0.2">
      <c r="A60" s="1914"/>
      <c r="B60" s="1914"/>
      <c r="C60" s="1926"/>
      <c r="D60" s="593">
        <f>'財務諸表（入力）'!D21</f>
        <v>0</v>
      </c>
      <c r="E60" s="567">
        <f>'財務諸表（入力）'!E21</f>
        <v>0</v>
      </c>
      <c r="F60" s="568">
        <f>'財務諸表（入力）'!G21</f>
        <v>0</v>
      </c>
      <c r="G60" s="569">
        <f>F60-E60</f>
        <v>0</v>
      </c>
      <c r="H60" s="567">
        <f t="shared" si="2"/>
        <v>0</v>
      </c>
      <c r="I60" s="568">
        <f t="shared" si="3"/>
        <v>0</v>
      </c>
      <c r="J60" s="570"/>
      <c r="K60" s="568"/>
      <c r="L60" s="695"/>
      <c r="M60" s="696"/>
      <c r="N60" s="600">
        <f t="shared" si="5"/>
        <v>0</v>
      </c>
      <c r="O60" s="572">
        <f t="shared" si="5"/>
        <v>0</v>
      </c>
      <c r="P60" s="706"/>
      <c r="Q60" s="705"/>
    </row>
    <row r="61" spans="1:17" ht="12.75" customHeight="1" x14ac:dyDescent="0.2">
      <c r="A61" s="1914"/>
      <c r="B61" s="1914"/>
      <c r="C61" s="1927"/>
      <c r="D61" s="594">
        <f>'財務諸表（入力）'!D26</f>
        <v>0</v>
      </c>
      <c r="E61" s="575">
        <f>'財務諸表（入力）'!E26</f>
        <v>0</v>
      </c>
      <c r="F61" s="350">
        <f>'財務諸表（入力）'!G26</f>
        <v>0</v>
      </c>
      <c r="G61" s="576">
        <f>F61-E61</f>
        <v>0</v>
      </c>
      <c r="H61" s="575">
        <f t="shared" si="2"/>
        <v>0</v>
      </c>
      <c r="I61" s="350">
        <f t="shared" si="3"/>
        <v>0</v>
      </c>
      <c r="J61" s="577"/>
      <c r="K61" s="350"/>
      <c r="L61" s="698"/>
      <c r="M61" s="699"/>
      <c r="N61" s="601">
        <f t="shared" si="5"/>
        <v>0</v>
      </c>
      <c r="O61" s="579">
        <f t="shared" si="5"/>
        <v>0</v>
      </c>
      <c r="P61" s="707"/>
      <c r="Q61" s="717"/>
    </row>
    <row r="62" spans="1:17" ht="12.75" customHeight="1" x14ac:dyDescent="0.2">
      <c r="A62" s="1914"/>
      <c r="B62" s="1915"/>
      <c r="C62" s="1931" t="s">
        <v>383</v>
      </c>
      <c r="D62" s="1932"/>
      <c r="E62" s="580">
        <f>SUM(E52:E61)</f>
        <v>0</v>
      </c>
      <c r="F62" s="581">
        <f>SUM(F52:F61)</f>
        <v>0</v>
      </c>
      <c r="G62" s="582">
        <f t="shared" si="1"/>
        <v>0</v>
      </c>
      <c r="H62" s="580">
        <f>SUM(H52:H61)</f>
        <v>0</v>
      </c>
      <c r="I62" s="581">
        <f>SUM(I52:I61)</f>
        <v>0</v>
      </c>
      <c r="J62" s="583"/>
      <c r="K62" s="338"/>
      <c r="L62" s="700"/>
      <c r="M62" s="701"/>
      <c r="N62" s="753" t="s">
        <v>231</v>
      </c>
      <c r="O62" s="754" t="s">
        <v>231</v>
      </c>
      <c r="P62" s="709"/>
      <c r="Q62" s="710"/>
    </row>
    <row r="63" spans="1:17" ht="12.75" customHeight="1" x14ac:dyDescent="0.2">
      <c r="A63" s="1914"/>
      <c r="B63" s="1890" t="s">
        <v>384</v>
      </c>
      <c r="C63" s="1981"/>
      <c r="D63" s="1705"/>
      <c r="E63" s="580">
        <f>E46+E51+E62</f>
        <v>0</v>
      </c>
      <c r="F63" s="581">
        <f>F46+F51+F62</f>
        <v>0</v>
      </c>
      <c r="G63" s="582">
        <f t="shared" si="1"/>
        <v>0</v>
      </c>
      <c r="H63" s="595">
        <f>SUM(H46+H51+H62)</f>
        <v>0</v>
      </c>
      <c r="I63" s="596">
        <f>SUM(I46+I51+I62)</f>
        <v>0</v>
      </c>
      <c r="J63" s="583"/>
      <c r="K63" s="338"/>
      <c r="L63" s="700"/>
      <c r="M63" s="701"/>
      <c r="N63" s="753" t="s">
        <v>231</v>
      </c>
      <c r="O63" s="754" t="s">
        <v>231</v>
      </c>
      <c r="P63" s="709"/>
      <c r="Q63" s="710"/>
    </row>
    <row r="64" spans="1:17" ht="12.75" customHeight="1" x14ac:dyDescent="0.2">
      <c r="A64" s="1914"/>
      <c r="B64" s="1963" t="s">
        <v>390</v>
      </c>
      <c r="C64" s="1887" t="s">
        <v>160</v>
      </c>
      <c r="D64" s="597" t="str">
        <f>'財務諸表（入力）'!D29</f>
        <v>建物付属設備</v>
      </c>
      <c r="E64" s="562">
        <f>'財務諸表（入力）'!E29</f>
        <v>0</v>
      </c>
      <c r="F64" s="563">
        <f>'財務諸表（入力）'!G29</f>
        <v>0</v>
      </c>
      <c r="G64" s="564">
        <f t="shared" si="1"/>
        <v>0</v>
      </c>
      <c r="H64" s="562">
        <f t="shared" ref="H64:H71" si="6">IF(G64&gt;1,SUM(G64:G64),0)</f>
        <v>0</v>
      </c>
      <c r="I64" s="563">
        <f t="shared" ref="I64:I71" si="7">IF(G64&lt;1,SUM(G64:G64)*-1,0)</f>
        <v>0</v>
      </c>
      <c r="J64" s="565"/>
      <c r="K64" s="563"/>
      <c r="L64" s="759" t="s">
        <v>234</v>
      </c>
      <c r="M64" s="760" t="s">
        <v>234</v>
      </c>
      <c r="N64" s="718"/>
      <c r="O64" s="694"/>
      <c r="P64" s="725"/>
      <c r="Q64" s="726"/>
    </row>
    <row r="65" spans="1:17" ht="12.75" customHeight="1" x14ac:dyDescent="0.2">
      <c r="A65" s="1914"/>
      <c r="B65" s="1914"/>
      <c r="C65" s="1926"/>
      <c r="D65" s="592" t="str">
        <f>'財務諸表（入力）'!D30</f>
        <v>構築物</v>
      </c>
      <c r="E65" s="599">
        <f>'財務諸表（入力）'!E30</f>
        <v>0</v>
      </c>
      <c r="F65" s="568">
        <f>'財務諸表（入力）'!G30</f>
        <v>0</v>
      </c>
      <c r="G65" s="569">
        <f t="shared" si="1"/>
        <v>0</v>
      </c>
      <c r="H65" s="567">
        <f t="shared" si="6"/>
        <v>0</v>
      </c>
      <c r="I65" s="568">
        <f t="shared" si="7"/>
        <v>0</v>
      </c>
      <c r="J65" s="570"/>
      <c r="K65" s="568"/>
      <c r="L65" s="761" t="s">
        <v>234</v>
      </c>
      <c r="M65" s="762" t="s">
        <v>234</v>
      </c>
      <c r="N65" s="719"/>
      <c r="O65" s="696"/>
      <c r="P65" s="704"/>
      <c r="Q65" s="705"/>
    </row>
    <row r="66" spans="1:17" ht="12.75" customHeight="1" x14ac:dyDescent="0.2">
      <c r="A66" s="1914"/>
      <c r="B66" s="1914"/>
      <c r="C66" s="1926"/>
      <c r="D66" s="593" t="str">
        <f>'財務諸表（入力）'!D31</f>
        <v>機械装置</v>
      </c>
      <c r="E66" s="567">
        <f>'財務諸表（入力）'!E31</f>
        <v>0</v>
      </c>
      <c r="F66" s="568">
        <f>'財務諸表（入力）'!G31</f>
        <v>0</v>
      </c>
      <c r="G66" s="569">
        <f t="shared" si="1"/>
        <v>0</v>
      </c>
      <c r="H66" s="567">
        <f t="shared" si="6"/>
        <v>0</v>
      </c>
      <c r="I66" s="568">
        <f t="shared" si="7"/>
        <v>0</v>
      </c>
      <c r="J66" s="570"/>
      <c r="K66" s="568"/>
      <c r="L66" s="761" t="s">
        <v>234</v>
      </c>
      <c r="M66" s="762" t="s">
        <v>234</v>
      </c>
      <c r="N66" s="719"/>
      <c r="O66" s="696"/>
      <c r="P66" s="704"/>
      <c r="Q66" s="705"/>
    </row>
    <row r="67" spans="1:17" ht="12.75" customHeight="1" x14ac:dyDescent="0.2">
      <c r="A67" s="1914"/>
      <c r="B67" s="1914"/>
      <c r="C67" s="1926"/>
      <c r="D67" s="592" t="str">
        <f>'財務諸表（入力）'!D32</f>
        <v>車両運搬具</v>
      </c>
      <c r="E67" s="567">
        <f>'財務諸表（入力）'!E32</f>
        <v>0</v>
      </c>
      <c r="F67" s="568">
        <f>'財務諸表（入力）'!G32</f>
        <v>0</v>
      </c>
      <c r="G67" s="569">
        <f t="shared" si="1"/>
        <v>0</v>
      </c>
      <c r="H67" s="567">
        <f t="shared" si="6"/>
        <v>0</v>
      </c>
      <c r="I67" s="568">
        <f t="shared" si="7"/>
        <v>0</v>
      </c>
      <c r="J67" s="570"/>
      <c r="K67" s="568"/>
      <c r="L67" s="761" t="s">
        <v>234</v>
      </c>
      <c r="M67" s="762" t="s">
        <v>234</v>
      </c>
      <c r="N67" s="719"/>
      <c r="O67" s="696"/>
      <c r="P67" s="704"/>
      <c r="Q67" s="705"/>
    </row>
    <row r="68" spans="1:17" ht="12.75" customHeight="1" x14ac:dyDescent="0.2">
      <c r="A68" s="1914"/>
      <c r="B68" s="1914"/>
      <c r="C68" s="1926"/>
      <c r="D68" s="592" t="str">
        <f>'財務諸表（入力）'!D33</f>
        <v>什器・備品</v>
      </c>
      <c r="E68" s="567">
        <f>'財務諸表（入力）'!E33</f>
        <v>0</v>
      </c>
      <c r="F68" s="568">
        <f>'財務諸表（入力）'!G33</f>
        <v>0</v>
      </c>
      <c r="G68" s="569">
        <f t="shared" si="1"/>
        <v>0</v>
      </c>
      <c r="H68" s="567">
        <f t="shared" si="6"/>
        <v>0</v>
      </c>
      <c r="I68" s="568">
        <f t="shared" si="7"/>
        <v>0</v>
      </c>
      <c r="J68" s="570"/>
      <c r="K68" s="568"/>
      <c r="L68" s="761" t="s">
        <v>234</v>
      </c>
      <c r="M68" s="762" t="s">
        <v>234</v>
      </c>
      <c r="N68" s="719"/>
      <c r="O68" s="696"/>
      <c r="P68" s="704"/>
      <c r="Q68" s="705"/>
    </row>
    <row r="69" spans="1:17" ht="12.75" customHeight="1" x14ac:dyDescent="0.2">
      <c r="A69" s="1914"/>
      <c r="B69" s="1914"/>
      <c r="C69" s="1926"/>
      <c r="D69" s="593" t="str">
        <f>'財務諸表（入力）'!D34</f>
        <v>土地</v>
      </c>
      <c r="E69" s="567">
        <f>'財務諸表（入力）'!E34</f>
        <v>0</v>
      </c>
      <c r="F69" s="568">
        <f>'財務諸表（入力）'!G34</f>
        <v>0</v>
      </c>
      <c r="G69" s="569">
        <f t="shared" si="1"/>
        <v>0</v>
      </c>
      <c r="H69" s="567">
        <f t="shared" si="6"/>
        <v>0</v>
      </c>
      <c r="I69" s="568">
        <f t="shared" si="7"/>
        <v>0</v>
      </c>
      <c r="J69" s="570"/>
      <c r="K69" s="568"/>
      <c r="L69" s="761" t="s">
        <v>234</v>
      </c>
      <c r="M69" s="762" t="s">
        <v>234</v>
      </c>
      <c r="N69" s="719"/>
      <c r="O69" s="696"/>
      <c r="P69" s="706"/>
      <c r="Q69" s="705"/>
    </row>
    <row r="70" spans="1:17" ht="12.75" customHeight="1" x14ac:dyDescent="0.2">
      <c r="A70" s="1914"/>
      <c r="B70" s="1914"/>
      <c r="C70" s="1926"/>
      <c r="D70" s="593" t="str">
        <f>'財務諸表（入力）'!D35</f>
        <v>建設仮勘定</v>
      </c>
      <c r="E70" s="567">
        <f>'財務諸表（入力）'!E35</f>
        <v>0</v>
      </c>
      <c r="F70" s="568">
        <f>'財務諸表（入力）'!G35</f>
        <v>0</v>
      </c>
      <c r="G70" s="569">
        <f t="shared" si="1"/>
        <v>0</v>
      </c>
      <c r="H70" s="567">
        <f t="shared" si="6"/>
        <v>0</v>
      </c>
      <c r="I70" s="568">
        <f t="shared" si="7"/>
        <v>0</v>
      </c>
      <c r="J70" s="570"/>
      <c r="K70" s="568"/>
      <c r="L70" s="761" t="s">
        <v>234</v>
      </c>
      <c r="M70" s="762" t="s">
        <v>234</v>
      </c>
      <c r="N70" s="719"/>
      <c r="O70" s="696"/>
      <c r="P70" s="706"/>
      <c r="Q70" s="705"/>
    </row>
    <row r="71" spans="1:17" ht="12.75" customHeight="1" x14ac:dyDescent="0.2">
      <c r="A71" s="1914"/>
      <c r="B71" s="1914"/>
      <c r="C71" s="1927"/>
      <c r="D71" s="310" t="str">
        <f>'財務諸表（入力）'!D36</f>
        <v>リース資産</v>
      </c>
      <c r="E71" s="575">
        <f>'財務諸表（入力）'!E36</f>
        <v>0</v>
      </c>
      <c r="F71" s="350">
        <f>'財務諸表（入力）'!G36</f>
        <v>0</v>
      </c>
      <c r="G71" s="576">
        <f t="shared" si="1"/>
        <v>0</v>
      </c>
      <c r="H71" s="575">
        <f t="shared" si="6"/>
        <v>0</v>
      </c>
      <c r="I71" s="350">
        <f t="shared" si="7"/>
        <v>0</v>
      </c>
      <c r="J71" s="577"/>
      <c r="K71" s="350"/>
      <c r="L71" s="763" t="s">
        <v>234</v>
      </c>
      <c r="M71" s="764" t="s">
        <v>234</v>
      </c>
      <c r="N71" s="720"/>
      <c r="O71" s="699"/>
      <c r="P71" s="707"/>
      <c r="Q71" s="708"/>
    </row>
    <row r="72" spans="1:17" ht="12.75" customHeight="1" x14ac:dyDescent="0.2">
      <c r="A72" s="1914"/>
      <c r="B72" s="1914"/>
      <c r="C72" s="1890" t="s">
        <v>386</v>
      </c>
      <c r="D72" s="1705"/>
      <c r="E72" s="580">
        <f>SUM(E64:E71)</f>
        <v>0</v>
      </c>
      <c r="F72" s="581">
        <f>SUM(F64:F71)</f>
        <v>0</v>
      </c>
      <c r="G72" s="602">
        <f t="shared" si="1"/>
        <v>0</v>
      </c>
      <c r="H72" s="580">
        <f>SUM(H64:H71)</f>
        <v>0</v>
      </c>
      <c r="I72" s="581">
        <f>SUM(I64:I71)</f>
        <v>0</v>
      </c>
      <c r="J72" s="583">
        <f>K116</f>
        <v>0</v>
      </c>
      <c r="K72" s="338"/>
      <c r="L72" s="765">
        <f>IF(H72+J72-I72&gt;0,H72+J72-I72,0)</f>
        <v>0</v>
      </c>
      <c r="M72" s="585">
        <f>IF(H72+J72-I72&lt;0,I72-H72-J72,0)</f>
        <v>0</v>
      </c>
      <c r="N72" s="721"/>
      <c r="O72" s="701"/>
      <c r="P72" s="709"/>
      <c r="Q72" s="710"/>
    </row>
    <row r="73" spans="1:17" ht="12.75" customHeight="1" x14ac:dyDescent="0.2">
      <c r="A73" s="1914"/>
      <c r="B73" s="1914"/>
      <c r="C73" s="1890" t="s">
        <v>387</v>
      </c>
      <c r="D73" s="1705"/>
      <c r="E73" s="580">
        <f>'財務諸表（入力）'!E38</f>
        <v>0</v>
      </c>
      <c r="F73" s="581">
        <f>'財務諸表（入力）'!G38</f>
        <v>0</v>
      </c>
      <c r="G73" s="582">
        <f t="shared" si="1"/>
        <v>0</v>
      </c>
      <c r="H73" s="604">
        <f t="shared" ref="H73:H81" si="8">IF(G73&gt;1,SUM(G73:G73),0)</f>
        <v>0</v>
      </c>
      <c r="I73" s="605">
        <f t="shared" ref="I73:I81" si="9">IF(G73&lt;1,SUM(G73:G73)*-1,0)</f>
        <v>0</v>
      </c>
      <c r="J73" s="606"/>
      <c r="K73" s="338"/>
      <c r="L73" s="766">
        <f>H73</f>
        <v>0</v>
      </c>
      <c r="M73" s="767">
        <f>I73</f>
        <v>0</v>
      </c>
      <c r="N73" s="721"/>
      <c r="O73" s="701"/>
      <c r="P73" s="709"/>
      <c r="Q73" s="710"/>
    </row>
    <row r="74" spans="1:17" ht="12.75" customHeight="1" x14ac:dyDescent="0.2">
      <c r="A74" s="1914"/>
      <c r="B74" s="1914"/>
      <c r="C74" s="1887" t="s">
        <v>389</v>
      </c>
      <c r="D74" s="288" t="str">
        <f>'財務諸表（入力）'!D39</f>
        <v>投資有価証券</v>
      </c>
      <c r="E74" s="586">
        <f>'財務諸表（入力）'!E39</f>
        <v>0</v>
      </c>
      <c r="F74" s="587">
        <f>'財務諸表（入力）'!G39</f>
        <v>0</v>
      </c>
      <c r="G74" s="588">
        <f t="shared" si="1"/>
        <v>0</v>
      </c>
      <c r="H74" s="586">
        <f t="shared" si="8"/>
        <v>0</v>
      </c>
      <c r="I74" s="587">
        <f t="shared" si="9"/>
        <v>0</v>
      </c>
      <c r="J74" s="589"/>
      <c r="K74" s="587"/>
      <c r="L74" s="774">
        <f>H74</f>
        <v>0</v>
      </c>
      <c r="M74" s="775">
        <f>I74</f>
        <v>0</v>
      </c>
      <c r="N74" s="722"/>
      <c r="O74" s="703"/>
      <c r="P74" s="711"/>
      <c r="Q74" s="727"/>
    </row>
    <row r="75" spans="1:17" ht="12.75" customHeight="1" x14ac:dyDescent="0.2">
      <c r="A75" s="1914"/>
      <c r="B75" s="1914"/>
      <c r="C75" s="1926"/>
      <c r="D75" s="592" t="str">
        <f>'財務諸表（入力）'!D40</f>
        <v>出資金</v>
      </c>
      <c r="E75" s="567">
        <f>'財務諸表（入力）'!E40</f>
        <v>0</v>
      </c>
      <c r="F75" s="568">
        <f>'財務諸表（入力）'!G40</f>
        <v>0</v>
      </c>
      <c r="G75" s="569">
        <f t="shared" ref="G75:G80" si="10">F75-E75</f>
        <v>0</v>
      </c>
      <c r="H75" s="567">
        <f t="shared" si="8"/>
        <v>0</v>
      </c>
      <c r="I75" s="568">
        <f t="shared" si="9"/>
        <v>0</v>
      </c>
      <c r="J75" s="570"/>
      <c r="K75" s="568"/>
      <c r="L75" s="776">
        <f t="shared" ref="L75:L81" si="11">H75</f>
        <v>0</v>
      </c>
      <c r="M75" s="777">
        <f t="shared" ref="M75:M81" si="12">I75</f>
        <v>0</v>
      </c>
      <c r="N75" s="719"/>
      <c r="O75" s="696"/>
      <c r="P75" s="706"/>
      <c r="Q75" s="713"/>
    </row>
    <row r="76" spans="1:17" ht="12.75" customHeight="1" x14ac:dyDescent="0.2">
      <c r="A76" s="1914"/>
      <c r="B76" s="1914"/>
      <c r="C76" s="1926"/>
      <c r="D76" s="592" t="str">
        <f>'財務諸表（入力）'!D41</f>
        <v>保証金他</v>
      </c>
      <c r="E76" s="567">
        <f>'財務諸表（入力）'!E41</f>
        <v>0</v>
      </c>
      <c r="F76" s="568">
        <f>'財務諸表（入力）'!G41</f>
        <v>0</v>
      </c>
      <c r="G76" s="569">
        <f t="shared" si="10"/>
        <v>0</v>
      </c>
      <c r="H76" s="567">
        <f t="shared" si="8"/>
        <v>0</v>
      </c>
      <c r="I76" s="568">
        <f t="shared" si="9"/>
        <v>0</v>
      </c>
      <c r="J76" s="570"/>
      <c r="K76" s="568"/>
      <c r="L76" s="776">
        <f t="shared" si="11"/>
        <v>0</v>
      </c>
      <c r="M76" s="777">
        <f t="shared" si="12"/>
        <v>0</v>
      </c>
      <c r="N76" s="719"/>
      <c r="O76" s="696"/>
      <c r="P76" s="706"/>
      <c r="Q76" s="713"/>
    </row>
    <row r="77" spans="1:17" ht="12.75" customHeight="1" x14ac:dyDescent="0.2">
      <c r="A77" s="1914"/>
      <c r="B77" s="1914"/>
      <c r="C77" s="1926"/>
      <c r="D77" s="592" t="str">
        <f>'財務諸表（入力）'!D42</f>
        <v>敷金</v>
      </c>
      <c r="E77" s="567">
        <f>'財務諸表（入力）'!E42</f>
        <v>0</v>
      </c>
      <c r="F77" s="568">
        <f>'財務諸表（入力）'!G42</f>
        <v>0</v>
      </c>
      <c r="G77" s="569">
        <f t="shared" si="10"/>
        <v>0</v>
      </c>
      <c r="H77" s="567">
        <f t="shared" si="8"/>
        <v>0</v>
      </c>
      <c r="I77" s="568">
        <f t="shared" si="9"/>
        <v>0</v>
      </c>
      <c r="J77" s="570"/>
      <c r="K77" s="568"/>
      <c r="L77" s="776">
        <f t="shared" si="11"/>
        <v>0</v>
      </c>
      <c r="M77" s="777">
        <f t="shared" si="12"/>
        <v>0</v>
      </c>
      <c r="N77" s="719"/>
      <c r="O77" s="696"/>
      <c r="P77" s="706"/>
      <c r="Q77" s="713"/>
    </row>
    <row r="78" spans="1:17" ht="12.75" customHeight="1" x14ac:dyDescent="0.2">
      <c r="A78" s="1914"/>
      <c r="B78" s="1914"/>
      <c r="C78" s="1926"/>
      <c r="D78" s="592" t="str">
        <f>'財務諸表（入力）'!D44</f>
        <v>保険積立金</v>
      </c>
      <c r="E78" s="567">
        <f>'財務諸表（入力）'!E44</f>
        <v>0</v>
      </c>
      <c r="F78" s="568">
        <f>'財務諸表（入力）'!G44</f>
        <v>0</v>
      </c>
      <c r="G78" s="569">
        <f t="shared" si="10"/>
        <v>0</v>
      </c>
      <c r="H78" s="567">
        <f t="shared" si="8"/>
        <v>0</v>
      </c>
      <c r="I78" s="568">
        <f t="shared" si="9"/>
        <v>0</v>
      </c>
      <c r="J78" s="570"/>
      <c r="K78" s="568"/>
      <c r="L78" s="776">
        <f t="shared" si="11"/>
        <v>0</v>
      </c>
      <c r="M78" s="777">
        <f t="shared" si="12"/>
        <v>0</v>
      </c>
      <c r="N78" s="719"/>
      <c r="O78" s="696"/>
      <c r="P78" s="706"/>
      <c r="Q78" s="713"/>
    </row>
    <row r="79" spans="1:17" ht="12.75" customHeight="1" x14ac:dyDescent="0.2">
      <c r="A79" s="1914"/>
      <c r="B79" s="1914"/>
      <c r="C79" s="1926"/>
      <c r="D79" s="592" t="str">
        <f>'財務諸表（入力）'!D45</f>
        <v>貸倒引当金（▲）</v>
      </c>
      <c r="E79" s="567">
        <f>'財務諸表（入力）'!E45</f>
        <v>0</v>
      </c>
      <c r="F79" s="568">
        <f>'財務諸表（入力）'!G45</f>
        <v>0</v>
      </c>
      <c r="G79" s="569">
        <f t="shared" si="10"/>
        <v>0</v>
      </c>
      <c r="H79" s="567">
        <f t="shared" si="8"/>
        <v>0</v>
      </c>
      <c r="I79" s="568">
        <f t="shared" si="9"/>
        <v>0</v>
      </c>
      <c r="J79" s="570"/>
      <c r="K79" s="568"/>
      <c r="L79" s="972"/>
      <c r="M79" s="973"/>
      <c r="N79" s="600">
        <f>H79</f>
        <v>0</v>
      </c>
      <c r="O79" s="572">
        <f>I79</f>
        <v>0</v>
      </c>
      <c r="P79" s="706"/>
      <c r="Q79" s="713"/>
    </row>
    <row r="80" spans="1:17" ht="12.75" customHeight="1" x14ac:dyDescent="0.2">
      <c r="A80" s="1914"/>
      <c r="B80" s="1914"/>
      <c r="C80" s="1926"/>
      <c r="D80" s="592" t="str">
        <f>'財務諸表（入力）'!D43</f>
        <v>関係会社株式</v>
      </c>
      <c r="E80" s="567">
        <f>'財務諸表（入力）'!E43</f>
        <v>0</v>
      </c>
      <c r="F80" s="568">
        <f>'財務諸表（入力）'!G43</f>
        <v>0</v>
      </c>
      <c r="G80" s="569">
        <f t="shared" si="10"/>
        <v>0</v>
      </c>
      <c r="H80" s="567">
        <f t="shared" si="8"/>
        <v>0</v>
      </c>
      <c r="I80" s="568">
        <f t="shared" si="9"/>
        <v>0</v>
      </c>
      <c r="J80" s="570"/>
      <c r="K80" s="568"/>
      <c r="L80" s="776">
        <f t="shared" si="11"/>
        <v>0</v>
      </c>
      <c r="M80" s="777">
        <f t="shared" si="12"/>
        <v>0</v>
      </c>
      <c r="N80" s="719"/>
      <c r="O80" s="696"/>
      <c r="P80" s="706"/>
      <c r="Q80" s="713"/>
    </row>
    <row r="81" spans="1:17" ht="12.75" customHeight="1" x14ac:dyDescent="0.2">
      <c r="A81" s="1914"/>
      <c r="B81" s="1914"/>
      <c r="C81" s="1927"/>
      <c r="D81" s="310" t="str">
        <f>'財務諸表（入力）'!D46</f>
        <v>長期前払費用</v>
      </c>
      <c r="E81" s="575">
        <f>'財務諸表（入力）'!E46</f>
        <v>0</v>
      </c>
      <c r="F81" s="350">
        <f>'財務諸表（入力）'!G46</f>
        <v>0</v>
      </c>
      <c r="G81" s="576">
        <f t="shared" si="1"/>
        <v>0</v>
      </c>
      <c r="H81" s="575">
        <f t="shared" si="8"/>
        <v>0</v>
      </c>
      <c r="I81" s="350">
        <f t="shared" si="9"/>
        <v>0</v>
      </c>
      <c r="J81" s="577"/>
      <c r="K81" s="350"/>
      <c r="L81" s="970">
        <f t="shared" si="11"/>
        <v>0</v>
      </c>
      <c r="M81" s="971">
        <f t="shared" si="12"/>
        <v>0</v>
      </c>
      <c r="N81" s="720"/>
      <c r="O81" s="699"/>
      <c r="P81" s="707"/>
      <c r="Q81" s="708"/>
    </row>
    <row r="82" spans="1:17" ht="12.75" customHeight="1" x14ac:dyDescent="0.2">
      <c r="A82" s="1914"/>
      <c r="B82" s="1914"/>
      <c r="C82" s="2013" t="s">
        <v>388</v>
      </c>
      <c r="D82" s="1932"/>
      <c r="E82" s="580">
        <f>SUM(E74:E81)</f>
        <v>0</v>
      </c>
      <c r="F82" s="581">
        <f>SUM(F74:F81)</f>
        <v>0</v>
      </c>
      <c r="G82" s="582">
        <f t="shared" si="1"/>
        <v>0</v>
      </c>
      <c r="H82" s="580">
        <f>SUM(H74:H81)</f>
        <v>0</v>
      </c>
      <c r="I82" s="581">
        <f>SUM(I74:I81)</f>
        <v>0</v>
      </c>
      <c r="J82" s="583"/>
      <c r="K82" s="338"/>
      <c r="L82" s="968" t="s">
        <v>525</v>
      </c>
      <c r="M82" s="969" t="s">
        <v>525</v>
      </c>
      <c r="N82" s="721"/>
      <c r="O82" s="701"/>
      <c r="P82" s="709"/>
      <c r="Q82" s="710"/>
    </row>
    <row r="83" spans="1:17" ht="12.75" customHeight="1" x14ac:dyDescent="0.2">
      <c r="A83" s="1914"/>
      <c r="B83" s="1915"/>
      <c r="C83" s="1928" t="str">
        <f>'財務諸表（入力）'!C48</f>
        <v>繰延資産</v>
      </c>
      <c r="D83" s="1705"/>
      <c r="E83" s="580">
        <f>'財務諸表（入力）'!E48</f>
        <v>0</v>
      </c>
      <c r="F83" s="581">
        <f>'財務諸表（入力）'!G48</f>
        <v>0</v>
      </c>
      <c r="G83" s="582">
        <f t="shared" si="1"/>
        <v>0</v>
      </c>
      <c r="H83" s="604">
        <f>IF(G83&gt;1,SUM(G83:G83),0)</f>
        <v>0</v>
      </c>
      <c r="I83" s="605">
        <f>IF(G83&lt;1,SUM(G83:G83)*-1,0)</f>
        <v>0</v>
      </c>
      <c r="J83" s="583"/>
      <c r="K83" s="338"/>
      <c r="L83" s="584">
        <f>H83</f>
        <v>0</v>
      </c>
      <c r="M83" s="585">
        <f>I83</f>
        <v>0</v>
      </c>
      <c r="N83" s="721"/>
      <c r="O83" s="701"/>
      <c r="P83" s="709"/>
      <c r="Q83" s="710"/>
    </row>
    <row r="84" spans="1:17" ht="12.75" customHeight="1" thickBot="1" x14ac:dyDescent="0.25">
      <c r="A84" s="1914"/>
      <c r="B84" s="1982" t="str">
        <f>'財務諸表（入力）'!B49</f>
        <v>固定資産合計</v>
      </c>
      <c r="C84" s="1983"/>
      <c r="D84" s="1932"/>
      <c r="E84" s="608">
        <f>E72+E73+E82+E83</f>
        <v>0</v>
      </c>
      <c r="F84" s="609">
        <f>F72+F73+F82+F83</f>
        <v>0</v>
      </c>
      <c r="G84" s="610">
        <f t="shared" si="1"/>
        <v>0</v>
      </c>
      <c r="H84" s="611">
        <f>H72+H73+H82+H83</f>
        <v>0</v>
      </c>
      <c r="I84" s="612">
        <f>I72+I73+I82+I83</f>
        <v>0</v>
      </c>
      <c r="J84" s="613"/>
      <c r="K84" s="614"/>
      <c r="L84" s="768" t="s">
        <v>231</v>
      </c>
      <c r="M84" s="769" t="s">
        <v>231</v>
      </c>
      <c r="N84" s="723"/>
      <c r="O84" s="724"/>
      <c r="P84" s="728"/>
      <c r="Q84" s="729"/>
    </row>
    <row r="85" spans="1:17" ht="12.75" customHeight="1" thickBot="1" x14ac:dyDescent="0.25">
      <c r="A85" s="1942" t="str">
        <f>'財務諸表（入力）'!A50</f>
        <v>資産合計</v>
      </c>
      <c r="B85" s="1984"/>
      <c r="C85" s="1984"/>
      <c r="D85" s="1985"/>
      <c r="E85" s="615">
        <f>E63+E84</f>
        <v>0</v>
      </c>
      <c r="F85" s="616">
        <f>F63+F84</f>
        <v>0</v>
      </c>
      <c r="G85" s="617">
        <f t="shared" si="1"/>
        <v>0</v>
      </c>
      <c r="H85" s="618">
        <f>H63+H84</f>
        <v>0</v>
      </c>
      <c r="I85" s="619">
        <f>I63+I84</f>
        <v>0</v>
      </c>
      <c r="J85" s="620"/>
      <c r="K85" s="621"/>
      <c r="L85" s="732"/>
      <c r="M85" s="731"/>
      <c r="N85" s="733"/>
      <c r="O85" s="731"/>
      <c r="P85" s="730"/>
      <c r="Q85" s="731"/>
    </row>
    <row r="86" spans="1:17" ht="12.75" customHeight="1" x14ac:dyDescent="0.2">
      <c r="A86" s="1946" t="s">
        <v>212</v>
      </c>
      <c r="B86" s="1950" t="s">
        <v>391</v>
      </c>
      <c r="C86" s="1900"/>
      <c r="D86" s="625" t="str">
        <f>'財務諸表（入力）'!D51</f>
        <v>支払手形</v>
      </c>
      <c r="E86" s="562">
        <f>'財務諸表（入力）'!E51</f>
        <v>0</v>
      </c>
      <c r="F86" s="563">
        <f>'財務諸表（入力）'!G51</f>
        <v>0</v>
      </c>
      <c r="G86" s="564">
        <f t="shared" si="1"/>
        <v>0</v>
      </c>
      <c r="H86" s="562">
        <f>IF(G86&lt;1,SUM(G86:G86)*-1,0)</f>
        <v>0</v>
      </c>
      <c r="I86" s="563">
        <f>IF(G86&gt;1,SUM(G86:G86),0)</f>
        <v>0</v>
      </c>
      <c r="J86" s="626"/>
      <c r="K86" s="563"/>
      <c r="L86" s="693"/>
      <c r="M86" s="694"/>
      <c r="N86" s="598">
        <f>H86</f>
        <v>0</v>
      </c>
      <c r="O86" s="566">
        <f>I86</f>
        <v>0</v>
      </c>
      <c r="P86" s="725"/>
      <c r="Q86" s="726"/>
    </row>
    <row r="87" spans="1:17" ht="12.75" customHeight="1" x14ac:dyDescent="0.2">
      <c r="A87" s="1914"/>
      <c r="B87" s="1899"/>
      <c r="C87" s="1900"/>
      <c r="D87" s="592" t="str">
        <f>'財務諸表（入力）'!D52</f>
        <v>買掛金</v>
      </c>
      <c r="E87" s="567">
        <f>'財務諸表（入力）'!E52</f>
        <v>0</v>
      </c>
      <c r="F87" s="568">
        <f>'財務諸表（入力）'!G52</f>
        <v>0</v>
      </c>
      <c r="G87" s="569">
        <f>F87-E87</f>
        <v>0</v>
      </c>
      <c r="H87" s="567">
        <f>IF(G87&lt;1,SUM(G87:G87)*-1,0)</f>
        <v>0</v>
      </c>
      <c r="I87" s="568">
        <f>IF(G87&gt;1,SUM(G87:G87),0)</f>
        <v>0</v>
      </c>
      <c r="J87" s="570"/>
      <c r="K87" s="568"/>
      <c r="L87" s="695"/>
      <c r="M87" s="696"/>
      <c r="N87" s="600">
        <f>H87</f>
        <v>0</v>
      </c>
      <c r="O87" s="572">
        <f>I87</f>
        <v>0</v>
      </c>
      <c r="P87" s="706"/>
      <c r="Q87" s="713"/>
    </row>
    <row r="88" spans="1:17" ht="12.75" customHeight="1" x14ac:dyDescent="0.2">
      <c r="A88" s="1914"/>
      <c r="B88" s="1899"/>
      <c r="C88" s="1900"/>
      <c r="D88" s="592" t="str">
        <f>'財務諸表（入力）'!D53</f>
        <v>短期借入金</v>
      </c>
      <c r="E88" s="567">
        <f>'財務諸表（入力）'!E53</f>
        <v>0</v>
      </c>
      <c r="F88" s="568">
        <f>'財務諸表（入力）'!G53</f>
        <v>0</v>
      </c>
      <c r="G88" s="569">
        <f>F88-E88</f>
        <v>0</v>
      </c>
      <c r="H88" s="567">
        <f>IF(G88&lt;1,SUM(G88:G88)*-1,0)</f>
        <v>0</v>
      </c>
      <c r="I88" s="568">
        <f>IF(G88&gt;1,SUM(G88:G88),0)</f>
        <v>0</v>
      </c>
      <c r="J88" s="570"/>
      <c r="K88" s="568"/>
      <c r="L88" s="695"/>
      <c r="M88" s="696"/>
      <c r="N88" s="719"/>
      <c r="O88" s="696"/>
      <c r="P88" s="573">
        <f>H88</f>
        <v>0</v>
      </c>
      <c r="Q88" s="234">
        <f>I88</f>
        <v>0</v>
      </c>
    </row>
    <row r="89" spans="1:17" ht="12.75" customHeight="1" x14ac:dyDescent="0.2">
      <c r="A89" s="1914"/>
      <c r="B89" s="1899"/>
      <c r="C89" s="1900"/>
      <c r="D89" s="592" t="str">
        <f>'財務諸表（入力）'!D54</f>
        <v>未払金</v>
      </c>
      <c r="E89" s="567">
        <f>'財務諸表（入力）'!E54</f>
        <v>0</v>
      </c>
      <c r="F89" s="568">
        <f>'財務諸表（入力）'!G54</f>
        <v>0</v>
      </c>
      <c r="G89" s="569">
        <f t="shared" ref="G89:G95" si="13">F89-E89</f>
        <v>0</v>
      </c>
      <c r="H89" s="567">
        <f>IF(G89&lt;1,SUM(G89:G89)*-1,0)</f>
        <v>0</v>
      </c>
      <c r="I89" s="568">
        <f t="shared" ref="I89:I95" si="14">IF(G89&gt;1,SUM(G89:G89),0)</f>
        <v>0</v>
      </c>
      <c r="J89" s="570"/>
      <c r="K89" s="568"/>
      <c r="L89" s="695"/>
      <c r="M89" s="696"/>
      <c r="N89" s="600">
        <f t="shared" ref="N89:O91" si="15">H89</f>
        <v>0</v>
      </c>
      <c r="O89" s="572">
        <f t="shared" si="15"/>
        <v>0</v>
      </c>
      <c r="P89" s="706"/>
      <c r="Q89" s="713"/>
    </row>
    <row r="90" spans="1:17" ht="12.75" customHeight="1" x14ac:dyDescent="0.2">
      <c r="A90" s="1914"/>
      <c r="B90" s="1899"/>
      <c r="C90" s="1900"/>
      <c r="D90" s="592" t="str">
        <f>'財務諸表（入力）'!D55</f>
        <v>未払費用</v>
      </c>
      <c r="E90" s="567">
        <f>'財務諸表（入力）'!E55</f>
        <v>0</v>
      </c>
      <c r="F90" s="568">
        <f>'財務諸表（入力）'!G55</f>
        <v>0</v>
      </c>
      <c r="G90" s="569">
        <f t="shared" si="13"/>
        <v>0</v>
      </c>
      <c r="H90" s="567">
        <f t="shared" ref="H90:H95" si="16">IF(G90&lt;1,SUM(G90:G90)*-1,0)</f>
        <v>0</v>
      </c>
      <c r="I90" s="568">
        <f t="shared" si="14"/>
        <v>0</v>
      </c>
      <c r="J90" s="570"/>
      <c r="K90" s="568"/>
      <c r="L90" s="695"/>
      <c r="M90" s="696"/>
      <c r="N90" s="600">
        <f t="shared" si="15"/>
        <v>0</v>
      </c>
      <c r="O90" s="572">
        <f t="shared" si="15"/>
        <v>0</v>
      </c>
      <c r="P90" s="706"/>
      <c r="Q90" s="713"/>
    </row>
    <row r="91" spans="1:17" ht="12.75" customHeight="1" x14ac:dyDescent="0.2">
      <c r="A91" s="1914"/>
      <c r="B91" s="1899"/>
      <c r="C91" s="1900"/>
      <c r="D91" s="592" t="str">
        <f>'財務諸表（入力）'!D57</f>
        <v>預り金</v>
      </c>
      <c r="E91" s="567">
        <f>'財務諸表（入力）'!E57</f>
        <v>0</v>
      </c>
      <c r="F91" s="568">
        <f>'財務諸表（入力）'!G57</f>
        <v>0</v>
      </c>
      <c r="G91" s="569">
        <f t="shared" si="13"/>
        <v>0</v>
      </c>
      <c r="H91" s="567">
        <f t="shared" si="16"/>
        <v>0</v>
      </c>
      <c r="I91" s="568">
        <f t="shared" si="14"/>
        <v>0</v>
      </c>
      <c r="J91" s="570"/>
      <c r="K91" s="568"/>
      <c r="L91" s="695"/>
      <c r="M91" s="696"/>
      <c r="N91" s="600">
        <f t="shared" si="15"/>
        <v>0</v>
      </c>
      <c r="O91" s="572">
        <f t="shared" si="15"/>
        <v>0</v>
      </c>
      <c r="P91" s="706"/>
      <c r="Q91" s="713"/>
    </row>
    <row r="92" spans="1:17" ht="12.75" customHeight="1" x14ac:dyDescent="0.2">
      <c r="A92" s="1914"/>
      <c r="B92" s="1899"/>
      <c r="C92" s="1900"/>
      <c r="D92" s="592" t="str">
        <f>'財務諸表（入力）'!D58</f>
        <v>未払法人税等</v>
      </c>
      <c r="E92" s="567">
        <f>'財務諸表（入力）'!E58</f>
        <v>0</v>
      </c>
      <c r="F92" s="568">
        <f>'財務諸表（入力）'!G58</f>
        <v>0</v>
      </c>
      <c r="G92" s="569">
        <f t="shared" si="13"/>
        <v>0</v>
      </c>
      <c r="H92" s="567">
        <f t="shared" si="16"/>
        <v>0</v>
      </c>
      <c r="I92" s="568">
        <f t="shared" si="14"/>
        <v>0</v>
      </c>
      <c r="J92" s="570">
        <f>I92</f>
        <v>0</v>
      </c>
      <c r="K92" s="568">
        <f>H92</f>
        <v>0</v>
      </c>
      <c r="L92" s="695"/>
      <c r="M92" s="696"/>
      <c r="N92" s="757" t="s">
        <v>231</v>
      </c>
      <c r="O92" s="758" t="s">
        <v>231</v>
      </c>
      <c r="P92" s="706"/>
      <c r="Q92" s="713"/>
    </row>
    <row r="93" spans="1:17" ht="12.75" customHeight="1" x14ac:dyDescent="0.2">
      <c r="A93" s="1914"/>
      <c r="B93" s="1899"/>
      <c r="C93" s="1900"/>
      <c r="D93" s="592" t="str">
        <f>'財務諸表（入力）'!D59</f>
        <v>未払消費税</v>
      </c>
      <c r="E93" s="567">
        <f>'財務諸表（入力）'!E59</f>
        <v>0</v>
      </c>
      <c r="F93" s="568">
        <f>'財務諸表（入力）'!G59</f>
        <v>0</v>
      </c>
      <c r="G93" s="569">
        <f t="shared" si="13"/>
        <v>0</v>
      </c>
      <c r="H93" s="567">
        <f t="shared" si="16"/>
        <v>0</v>
      </c>
      <c r="I93" s="568">
        <f t="shared" si="14"/>
        <v>0</v>
      </c>
      <c r="J93" s="570"/>
      <c r="K93" s="568"/>
      <c r="L93" s="695"/>
      <c r="M93" s="696"/>
      <c r="N93" s="600">
        <f t="shared" ref="N93:O95" si="17">H93</f>
        <v>0</v>
      </c>
      <c r="O93" s="572">
        <f t="shared" si="17"/>
        <v>0</v>
      </c>
      <c r="P93" s="706"/>
      <c r="Q93" s="713"/>
    </row>
    <row r="94" spans="1:17" ht="12.75" customHeight="1" x14ac:dyDescent="0.2">
      <c r="A94" s="1914"/>
      <c r="B94" s="1899"/>
      <c r="C94" s="1900"/>
      <c r="D94" s="592" t="str">
        <f>'財務諸表（入力）'!D56</f>
        <v>前受金</v>
      </c>
      <c r="E94" s="567">
        <f>'財務諸表（入力）'!E56</f>
        <v>0</v>
      </c>
      <c r="F94" s="568">
        <f>'財務諸表（入力）'!G56</f>
        <v>0</v>
      </c>
      <c r="G94" s="569">
        <f t="shared" si="13"/>
        <v>0</v>
      </c>
      <c r="H94" s="567">
        <f t="shared" si="16"/>
        <v>0</v>
      </c>
      <c r="I94" s="568">
        <f t="shared" si="14"/>
        <v>0</v>
      </c>
      <c r="J94" s="570"/>
      <c r="K94" s="568"/>
      <c r="L94" s="695"/>
      <c r="M94" s="696"/>
      <c r="N94" s="600">
        <f t="shared" si="17"/>
        <v>0</v>
      </c>
      <c r="O94" s="572">
        <f t="shared" si="17"/>
        <v>0</v>
      </c>
      <c r="P94" s="706"/>
      <c r="Q94" s="713"/>
    </row>
    <row r="95" spans="1:17" ht="12.75" customHeight="1" x14ac:dyDescent="0.2">
      <c r="A95" s="1914"/>
      <c r="B95" s="1901"/>
      <c r="C95" s="1902"/>
      <c r="D95" s="310" t="str">
        <f>'財務諸表（入力）'!D60</f>
        <v>預り保証金他</v>
      </c>
      <c r="E95" s="575">
        <f>'財務諸表（入力）'!E60</f>
        <v>0</v>
      </c>
      <c r="F95" s="350">
        <f>'財務諸表（入力）'!G60</f>
        <v>0</v>
      </c>
      <c r="G95" s="576">
        <f t="shared" si="13"/>
        <v>0</v>
      </c>
      <c r="H95" s="575">
        <f t="shared" si="16"/>
        <v>0</v>
      </c>
      <c r="I95" s="350">
        <f t="shared" si="14"/>
        <v>0</v>
      </c>
      <c r="J95" s="577"/>
      <c r="K95" s="350"/>
      <c r="L95" s="698"/>
      <c r="M95" s="699"/>
      <c r="N95" s="601">
        <f t="shared" si="17"/>
        <v>0</v>
      </c>
      <c r="O95" s="579">
        <f t="shared" si="17"/>
        <v>0</v>
      </c>
      <c r="P95" s="707"/>
      <c r="Q95" s="708"/>
    </row>
    <row r="96" spans="1:17" ht="12.75" customHeight="1" x14ac:dyDescent="0.2">
      <c r="A96" s="1914"/>
      <c r="B96" s="1928" t="str">
        <f>'財務諸表（入力）'!B61</f>
        <v>流動負債合計</v>
      </c>
      <c r="C96" s="1981"/>
      <c r="D96" s="1705"/>
      <c r="E96" s="580">
        <f>SUM(E86:E95)</f>
        <v>0</v>
      </c>
      <c r="F96" s="581">
        <f>SUM(F86:F95)</f>
        <v>0</v>
      </c>
      <c r="G96" s="582">
        <f t="shared" ref="G96:G115" si="18">F96-E96</f>
        <v>0</v>
      </c>
      <c r="H96" s="580">
        <f>SUM(H86:H95)</f>
        <v>0</v>
      </c>
      <c r="I96" s="581">
        <f>SUM(I86:I95)</f>
        <v>0</v>
      </c>
      <c r="J96" s="583"/>
      <c r="K96" s="338"/>
      <c r="L96" s="700"/>
      <c r="M96" s="701"/>
      <c r="N96" s="770" t="s">
        <v>234</v>
      </c>
      <c r="O96" s="771" t="s">
        <v>234</v>
      </c>
      <c r="P96" s="709"/>
      <c r="Q96" s="710"/>
    </row>
    <row r="97" spans="1:17" ht="12.75" customHeight="1" x14ac:dyDescent="0.2">
      <c r="A97" s="1914"/>
      <c r="B97" s="1897" t="s">
        <v>392</v>
      </c>
      <c r="C97" s="1898"/>
      <c r="D97" s="288" t="str">
        <f>'財務諸表（入力）'!D62</f>
        <v>長期借入金</v>
      </c>
      <c r="E97" s="586">
        <f>'財務諸表（入力）'!E62</f>
        <v>0</v>
      </c>
      <c r="F97" s="587">
        <f>'財務諸表（入力）'!G62</f>
        <v>0</v>
      </c>
      <c r="G97" s="588">
        <f t="shared" si="18"/>
        <v>0</v>
      </c>
      <c r="H97" s="586">
        <f t="shared" ref="H97:H103" si="19">IF(G97&lt;1,SUM(G97:G97)*-1,0)</f>
        <v>0</v>
      </c>
      <c r="I97" s="587">
        <f t="shared" ref="I97:I103" si="20">IF(G97&gt;1,SUM(G97:G97),0)</f>
        <v>0</v>
      </c>
      <c r="J97" s="589"/>
      <c r="K97" s="587"/>
      <c r="L97" s="590">
        <f t="shared" ref="L97:M99" si="21">H97</f>
        <v>0</v>
      </c>
      <c r="M97" s="591">
        <f t="shared" si="21"/>
        <v>0</v>
      </c>
      <c r="N97" s="722"/>
      <c r="O97" s="703"/>
      <c r="P97" s="711"/>
      <c r="Q97" s="727"/>
    </row>
    <row r="98" spans="1:17" ht="12.75" customHeight="1" x14ac:dyDescent="0.2">
      <c r="A98" s="1914"/>
      <c r="B98" s="1899"/>
      <c r="C98" s="1900"/>
      <c r="D98" s="592" t="str">
        <f>'財務諸表（入力）'!D64</f>
        <v>設備支払手形</v>
      </c>
      <c r="E98" s="567">
        <f>'財務諸表（入力）'!E64</f>
        <v>0</v>
      </c>
      <c r="F98" s="568">
        <f>'財務諸表（入力）'!G64</f>
        <v>0</v>
      </c>
      <c r="G98" s="569">
        <f t="shared" si="18"/>
        <v>0</v>
      </c>
      <c r="H98" s="567">
        <f t="shared" si="19"/>
        <v>0</v>
      </c>
      <c r="I98" s="568">
        <f t="shared" si="20"/>
        <v>0</v>
      </c>
      <c r="J98" s="570"/>
      <c r="K98" s="568"/>
      <c r="L98" s="571">
        <f t="shared" si="21"/>
        <v>0</v>
      </c>
      <c r="M98" s="572">
        <f t="shared" si="21"/>
        <v>0</v>
      </c>
      <c r="N98" s="719"/>
      <c r="O98" s="696"/>
      <c r="P98" s="706"/>
      <c r="Q98" s="713"/>
    </row>
    <row r="99" spans="1:17" ht="12.75" customHeight="1" x14ac:dyDescent="0.2">
      <c r="A99" s="1914"/>
      <c r="B99" s="1899"/>
      <c r="C99" s="1900"/>
      <c r="D99" s="592" t="str">
        <f>'財務諸表（入力）'!D65</f>
        <v>リース債務</v>
      </c>
      <c r="E99" s="567">
        <f>'財務諸表（入力）'!E65</f>
        <v>0</v>
      </c>
      <c r="F99" s="568">
        <f>'財務諸表（入力）'!G65</f>
        <v>0</v>
      </c>
      <c r="G99" s="569">
        <f t="shared" si="18"/>
        <v>0</v>
      </c>
      <c r="H99" s="567">
        <f t="shared" si="19"/>
        <v>0</v>
      </c>
      <c r="I99" s="568">
        <f t="shared" si="20"/>
        <v>0</v>
      </c>
      <c r="J99" s="570"/>
      <c r="K99" s="568"/>
      <c r="L99" s="571">
        <f t="shared" si="21"/>
        <v>0</v>
      </c>
      <c r="M99" s="572">
        <f t="shared" si="21"/>
        <v>0</v>
      </c>
      <c r="N99" s="719"/>
      <c r="O99" s="696"/>
      <c r="P99" s="706"/>
      <c r="Q99" s="713"/>
    </row>
    <row r="100" spans="1:17" ht="12.75" customHeight="1" x14ac:dyDescent="0.2">
      <c r="A100" s="1914"/>
      <c r="B100" s="1899"/>
      <c r="C100" s="1900"/>
      <c r="D100" s="232">
        <f>'財務諸表（入力）'!D66</f>
        <v>0</v>
      </c>
      <c r="E100" s="567">
        <f>'財務諸表（入力）'!E66</f>
        <v>0</v>
      </c>
      <c r="F100" s="568">
        <f>'財務諸表（入力）'!G66</f>
        <v>0</v>
      </c>
      <c r="G100" s="569">
        <f t="shared" si="18"/>
        <v>0</v>
      </c>
      <c r="H100" s="567">
        <f t="shared" si="19"/>
        <v>0</v>
      </c>
      <c r="I100" s="568">
        <f t="shared" si="20"/>
        <v>0</v>
      </c>
      <c r="J100" s="570"/>
      <c r="K100" s="568"/>
      <c r="L100" s="571">
        <f>H100</f>
        <v>0</v>
      </c>
      <c r="M100" s="572">
        <f>I100</f>
        <v>0</v>
      </c>
      <c r="N100" s="719"/>
      <c r="O100" s="696"/>
      <c r="P100" s="706"/>
      <c r="Q100" s="713"/>
    </row>
    <row r="101" spans="1:17" ht="12.75" customHeight="1" x14ac:dyDescent="0.2">
      <c r="A101" s="1914"/>
      <c r="B101" s="1899"/>
      <c r="C101" s="1900"/>
      <c r="D101" s="592" t="str">
        <f>'財務諸表（入力）'!D63</f>
        <v>社債</v>
      </c>
      <c r="E101" s="567">
        <f>'財務諸表（入力）'!E63</f>
        <v>0</v>
      </c>
      <c r="F101" s="568">
        <f>'財務諸表（入力）'!G63</f>
        <v>0</v>
      </c>
      <c r="G101" s="569">
        <f t="shared" si="18"/>
        <v>0</v>
      </c>
      <c r="H101" s="567">
        <f t="shared" si="19"/>
        <v>0</v>
      </c>
      <c r="I101" s="568">
        <f t="shared" si="20"/>
        <v>0</v>
      </c>
      <c r="J101" s="570"/>
      <c r="K101" s="568"/>
      <c r="L101" s="571">
        <f t="shared" ref="L101:M103" si="22">H101</f>
        <v>0</v>
      </c>
      <c r="M101" s="572">
        <f t="shared" si="22"/>
        <v>0</v>
      </c>
      <c r="N101" s="719"/>
      <c r="O101" s="696"/>
      <c r="P101" s="706"/>
      <c r="Q101" s="713"/>
    </row>
    <row r="102" spans="1:17" ht="12.75" customHeight="1" x14ac:dyDescent="0.2">
      <c r="A102" s="1914"/>
      <c r="B102" s="1899"/>
      <c r="C102" s="1900"/>
      <c r="D102" s="592">
        <f>'財務諸表（入力）'!D67</f>
        <v>0</v>
      </c>
      <c r="E102" s="567">
        <f>'財務諸表（入力）'!E67</f>
        <v>0</v>
      </c>
      <c r="F102" s="568">
        <f>'財務諸表（入力）'!G67</f>
        <v>0</v>
      </c>
      <c r="G102" s="569">
        <f t="shared" si="18"/>
        <v>0</v>
      </c>
      <c r="H102" s="567">
        <f t="shared" si="19"/>
        <v>0</v>
      </c>
      <c r="I102" s="568">
        <f t="shared" si="20"/>
        <v>0</v>
      </c>
      <c r="J102" s="570"/>
      <c r="K102" s="568"/>
      <c r="L102" s="571">
        <f t="shared" si="22"/>
        <v>0</v>
      </c>
      <c r="M102" s="572">
        <f t="shared" si="22"/>
        <v>0</v>
      </c>
      <c r="N102" s="719"/>
      <c r="O102" s="696"/>
      <c r="P102" s="706"/>
      <c r="Q102" s="713"/>
    </row>
    <row r="103" spans="1:17" ht="12.75" customHeight="1" x14ac:dyDescent="0.2">
      <c r="A103" s="1914"/>
      <c r="B103" s="1901"/>
      <c r="C103" s="1902"/>
      <c r="D103" s="310">
        <f>'財務諸表（入力）'!D68</f>
        <v>0</v>
      </c>
      <c r="E103" s="575">
        <f>'財務諸表（入力）'!E68</f>
        <v>0</v>
      </c>
      <c r="F103" s="350">
        <f>'財務諸表（入力）'!G68</f>
        <v>0</v>
      </c>
      <c r="G103" s="576">
        <f t="shared" si="18"/>
        <v>0</v>
      </c>
      <c r="H103" s="575">
        <f t="shared" si="19"/>
        <v>0</v>
      </c>
      <c r="I103" s="350">
        <f t="shared" si="20"/>
        <v>0</v>
      </c>
      <c r="J103" s="577"/>
      <c r="K103" s="350"/>
      <c r="L103" s="578">
        <f t="shared" si="22"/>
        <v>0</v>
      </c>
      <c r="M103" s="579">
        <f t="shared" si="22"/>
        <v>0</v>
      </c>
      <c r="N103" s="720"/>
      <c r="O103" s="699"/>
      <c r="P103" s="707"/>
      <c r="Q103" s="708"/>
    </row>
    <row r="104" spans="1:17" ht="12.75" customHeight="1" x14ac:dyDescent="0.2">
      <c r="A104" s="1915"/>
      <c r="B104" s="1928" t="str">
        <f>'財務諸表（入力）'!B69</f>
        <v>固定負債合計</v>
      </c>
      <c r="C104" s="1981"/>
      <c r="D104" s="1705"/>
      <c r="E104" s="580">
        <f>SUM(E97:E103)</f>
        <v>0</v>
      </c>
      <c r="F104" s="581">
        <f>SUM(F97:F103)</f>
        <v>0</v>
      </c>
      <c r="G104" s="582">
        <f t="shared" si="18"/>
        <v>0</v>
      </c>
      <c r="H104" s="580">
        <f>SUM(H97:H103)</f>
        <v>0</v>
      </c>
      <c r="I104" s="581">
        <f>SUM(I97:I103)</f>
        <v>0</v>
      </c>
      <c r="J104" s="583"/>
      <c r="K104" s="338"/>
      <c r="L104" s="772" t="s">
        <v>231</v>
      </c>
      <c r="M104" s="754" t="s">
        <v>231</v>
      </c>
      <c r="N104" s="721"/>
      <c r="O104" s="701"/>
      <c r="P104" s="709"/>
      <c r="Q104" s="710"/>
    </row>
    <row r="105" spans="1:17" ht="12.75" customHeight="1" x14ac:dyDescent="0.2">
      <c r="A105" s="1928" t="str">
        <f>'財務諸表（入力）'!A70</f>
        <v>負債合計</v>
      </c>
      <c r="B105" s="1981"/>
      <c r="C105" s="1981"/>
      <c r="D105" s="1705"/>
      <c r="E105" s="608">
        <f>E96+E104</f>
        <v>0</v>
      </c>
      <c r="F105" s="609">
        <f>F96+F104</f>
        <v>0</v>
      </c>
      <c r="G105" s="610">
        <f t="shared" si="18"/>
        <v>0</v>
      </c>
      <c r="H105" s="611">
        <f>H96+H104</f>
        <v>0</v>
      </c>
      <c r="I105" s="612">
        <f>I96+I104</f>
        <v>0</v>
      </c>
      <c r="J105" s="613"/>
      <c r="K105" s="614"/>
      <c r="L105" s="773"/>
      <c r="M105" s="724"/>
      <c r="N105" s="723"/>
      <c r="O105" s="724"/>
      <c r="P105" s="728"/>
      <c r="Q105" s="729"/>
    </row>
    <row r="106" spans="1:17" ht="12.75" customHeight="1" x14ac:dyDescent="0.2">
      <c r="A106" s="1897" t="s">
        <v>214</v>
      </c>
      <c r="B106" s="1898"/>
      <c r="C106" s="1913" t="s">
        <v>394</v>
      </c>
      <c r="D106" s="288" t="str">
        <f>'財務諸表（入力）'!D71</f>
        <v>資本金</v>
      </c>
      <c r="E106" s="586">
        <f>'財務諸表（入力）'!E71</f>
        <v>0</v>
      </c>
      <c r="F106" s="587">
        <f>'財務諸表（入力）'!G71</f>
        <v>0</v>
      </c>
      <c r="G106" s="588">
        <f t="shared" si="18"/>
        <v>0</v>
      </c>
      <c r="H106" s="586">
        <f>IF(G106&lt;1,SUM(G106:G106)*-1,0)</f>
        <v>0</v>
      </c>
      <c r="I106" s="587">
        <f>IF(G106&gt;1,SUM(G106:G106),0)</f>
        <v>0</v>
      </c>
      <c r="J106" s="589"/>
      <c r="K106" s="587"/>
      <c r="L106" s="774">
        <f>H106</f>
        <v>0</v>
      </c>
      <c r="M106" s="775">
        <f>I106</f>
        <v>0</v>
      </c>
      <c r="N106" s="722"/>
      <c r="O106" s="703"/>
      <c r="P106" s="711"/>
      <c r="Q106" s="727"/>
    </row>
    <row r="107" spans="1:17" ht="12.75" customHeight="1" x14ac:dyDescent="0.2">
      <c r="A107" s="1899"/>
      <c r="B107" s="1900"/>
      <c r="C107" s="1914"/>
      <c r="D107" s="593" t="str">
        <f>'財務諸表（入力）'!D72</f>
        <v>資本剰余金</v>
      </c>
      <c r="E107" s="567">
        <f>'財務諸表（入力）'!E72</f>
        <v>0</v>
      </c>
      <c r="F107" s="207">
        <f>'財務諸表（入力）'!G72</f>
        <v>0</v>
      </c>
      <c r="G107" s="569">
        <f t="shared" si="18"/>
        <v>0</v>
      </c>
      <c r="H107" s="567">
        <f>IF(G107&lt;1,SUM(G107:G107)*-1,0)</f>
        <v>0</v>
      </c>
      <c r="I107" s="568">
        <f>IF(G107&gt;1,SUM(G107:G107),0)</f>
        <v>0</v>
      </c>
      <c r="J107" s="570"/>
      <c r="K107" s="568"/>
      <c r="L107" s="776">
        <f>H107</f>
        <v>0</v>
      </c>
      <c r="M107" s="777">
        <f>I107</f>
        <v>0</v>
      </c>
      <c r="N107" s="719"/>
      <c r="O107" s="696"/>
      <c r="P107" s="706"/>
      <c r="Q107" s="713"/>
    </row>
    <row r="108" spans="1:17" ht="12.75" customHeight="1" x14ac:dyDescent="0.2">
      <c r="A108" s="1899"/>
      <c r="B108" s="1900"/>
      <c r="C108" s="1914"/>
      <c r="D108" s="593" t="str">
        <f>'財務諸表（入力）'!D73</f>
        <v>利益剰余金</v>
      </c>
      <c r="E108" s="567">
        <f>'財務諸表（入力）'!E73</f>
        <v>0</v>
      </c>
      <c r="F108" s="568">
        <f>'財務諸表（入力）'!G73</f>
        <v>0</v>
      </c>
      <c r="G108" s="569">
        <f t="shared" si="18"/>
        <v>0</v>
      </c>
      <c r="H108" s="567">
        <f>IF(G108&lt;1,SUM(G108:G108)*-1,0)</f>
        <v>0</v>
      </c>
      <c r="I108" s="568">
        <f>IF(G108&gt;1,SUM(G108:G108),0)</f>
        <v>0</v>
      </c>
      <c r="J108" s="570">
        <f>K123-J121</f>
        <v>0</v>
      </c>
      <c r="K108" s="568">
        <f>J119+J120</f>
        <v>0</v>
      </c>
      <c r="L108" s="776">
        <f>IF(H108+J108-I108-K108&gt;0,H108+J108-I108-K108,0)</f>
        <v>0</v>
      </c>
      <c r="M108" s="777">
        <f>IF(I108+K108-H108-J108&gt;0,I108+K108-H108-J108,0)</f>
        <v>0</v>
      </c>
      <c r="N108" s="719"/>
      <c r="O108" s="696"/>
      <c r="P108" s="706"/>
      <c r="Q108" s="713"/>
    </row>
    <row r="109" spans="1:17" ht="12.75" customHeight="1" x14ac:dyDescent="0.2">
      <c r="A109" s="1899"/>
      <c r="B109" s="1900"/>
      <c r="C109" s="1914"/>
      <c r="D109" s="232" t="str">
        <f>'財務諸表（入力）'!D74</f>
        <v>うち準備金、積立金</v>
      </c>
      <c r="E109" s="567">
        <f>'財務諸表（入力）'!E74</f>
        <v>0</v>
      </c>
      <c r="F109" s="568">
        <f>'財務諸表（入力）'!G74</f>
        <v>0</v>
      </c>
      <c r="G109" s="569">
        <f>F109-E109</f>
        <v>0</v>
      </c>
      <c r="H109" s="567">
        <f>IF(G109&lt;1,SUM(G109:G109)*-1,0)</f>
        <v>0</v>
      </c>
      <c r="I109" s="568">
        <f>IF(G109&gt;1,SUM(G109:G109),0)</f>
        <v>0</v>
      </c>
      <c r="J109" s="570"/>
      <c r="K109" s="568"/>
      <c r="L109" s="927" t="s">
        <v>483</v>
      </c>
      <c r="M109" s="928" t="s">
        <v>483</v>
      </c>
      <c r="N109" s="719"/>
      <c r="O109" s="696"/>
      <c r="P109" s="706"/>
      <c r="Q109" s="713"/>
    </row>
    <row r="110" spans="1:17" ht="12.75" customHeight="1" x14ac:dyDescent="0.2">
      <c r="A110" s="1899"/>
      <c r="B110" s="1900"/>
      <c r="C110" s="1915"/>
      <c r="D110" s="235" t="str">
        <f>'財務諸表（入力）'!D75</f>
        <v>うち繰越利益剰余金</v>
      </c>
      <c r="E110" s="575">
        <f>'財務諸表（入力）'!E75</f>
        <v>0</v>
      </c>
      <c r="F110" s="350">
        <f>'財務諸表（入力）'!G75</f>
        <v>0</v>
      </c>
      <c r="G110" s="576">
        <f t="shared" si="18"/>
        <v>0</v>
      </c>
      <c r="H110" s="575">
        <f>IF(G110&lt;1,SUM(G110:G110)*-1,0)</f>
        <v>0</v>
      </c>
      <c r="I110" s="350">
        <f>IF(G110&gt;1,SUM(G110:G110),0)</f>
        <v>0</v>
      </c>
      <c r="J110" s="577"/>
      <c r="K110" s="350"/>
      <c r="L110" s="778" t="s">
        <v>231</v>
      </c>
      <c r="M110" s="779" t="s">
        <v>231</v>
      </c>
      <c r="N110" s="720"/>
      <c r="O110" s="699"/>
      <c r="P110" s="707"/>
      <c r="Q110" s="708"/>
    </row>
    <row r="111" spans="1:17" ht="12.75" customHeight="1" x14ac:dyDescent="0.2">
      <c r="A111" s="1899"/>
      <c r="B111" s="1900"/>
      <c r="C111" s="1892" t="s">
        <v>393</v>
      </c>
      <c r="D111" s="1893"/>
      <c r="E111" s="627">
        <f>SUM(E106:E108)</f>
        <v>0</v>
      </c>
      <c r="F111" s="628">
        <f>SUM(F106:F108)</f>
        <v>0</v>
      </c>
      <c r="G111" s="629">
        <f t="shared" si="18"/>
        <v>0</v>
      </c>
      <c r="H111" s="627">
        <f>SUM(H106:H108)</f>
        <v>0</v>
      </c>
      <c r="I111" s="628">
        <f>SUM(I106:I108)</f>
        <v>0</v>
      </c>
      <c r="J111" s="589"/>
      <c r="K111" s="587"/>
      <c r="L111" s="780" t="s">
        <v>231</v>
      </c>
      <c r="M111" s="756" t="s">
        <v>231</v>
      </c>
      <c r="N111" s="722"/>
      <c r="O111" s="703"/>
      <c r="P111" s="711"/>
      <c r="Q111" s="727"/>
    </row>
    <row r="112" spans="1:17" ht="12.75" customHeight="1" x14ac:dyDescent="0.2">
      <c r="A112" s="1899"/>
      <c r="B112" s="1900"/>
      <c r="C112" s="1918" t="str">
        <f>'財務諸表（入力）'!B77</f>
        <v>自己株式（▲）</v>
      </c>
      <c r="D112" s="1919"/>
      <c r="E112" s="630">
        <f>'財務諸表（入力）'!E77</f>
        <v>0</v>
      </c>
      <c r="F112" s="631">
        <f>'財務諸表（入力）'!G77</f>
        <v>0</v>
      </c>
      <c r="G112" s="632">
        <f t="shared" si="18"/>
        <v>0</v>
      </c>
      <c r="H112" s="633">
        <f>IF(G112&lt;1,SUM(G112:G112)*-1,0)</f>
        <v>0</v>
      </c>
      <c r="I112" s="634">
        <f>IF(G112&gt;1,SUM(G112:G112),0)</f>
        <v>0</v>
      </c>
      <c r="J112" s="635"/>
      <c r="K112" s="568"/>
      <c r="L112" s="964">
        <f>H112</f>
        <v>0</v>
      </c>
      <c r="M112" s="965">
        <f>I112</f>
        <v>0</v>
      </c>
      <c r="N112" s="719"/>
      <c r="O112" s="696"/>
      <c r="P112" s="706"/>
      <c r="Q112" s="713"/>
    </row>
    <row r="113" spans="1:17" ht="12.75" customHeight="1" x14ac:dyDescent="0.2">
      <c r="A113" s="1901"/>
      <c r="B113" s="1902"/>
      <c r="C113" s="1920">
        <f>'財務諸表（入力）'!B78</f>
        <v>0</v>
      </c>
      <c r="D113" s="1921"/>
      <c r="E113" s="636">
        <f>'財務諸表（入力）'!E78</f>
        <v>0</v>
      </c>
      <c r="F113" s="637">
        <f>'財務諸表（入力）'!G78</f>
        <v>0</v>
      </c>
      <c r="G113" s="638">
        <f t="shared" si="18"/>
        <v>0</v>
      </c>
      <c r="H113" s="639">
        <f>IF(G113&lt;1,SUM(G113:G113)*-1,0)</f>
        <v>0</v>
      </c>
      <c r="I113" s="640">
        <f>IF(G113&gt;1,SUM(G113:G113),0)</f>
        <v>0</v>
      </c>
      <c r="J113" s="641"/>
      <c r="K113" s="350"/>
      <c r="L113" s="964">
        <f>H113</f>
        <v>0</v>
      </c>
      <c r="M113" s="965">
        <f>I113</f>
        <v>0</v>
      </c>
      <c r="N113" s="720"/>
      <c r="O113" s="699"/>
      <c r="P113" s="707"/>
      <c r="Q113" s="708"/>
    </row>
    <row r="114" spans="1:17" ht="12.75" customHeight="1" thickBot="1" x14ac:dyDescent="0.25">
      <c r="A114" s="1933" t="s">
        <v>166</v>
      </c>
      <c r="B114" s="1977"/>
      <c r="C114" s="1977"/>
      <c r="D114" s="1978"/>
      <c r="E114" s="608">
        <f>SUM(E111:E113)</f>
        <v>0</v>
      </c>
      <c r="F114" s="609">
        <f>SUM(F111:F113)</f>
        <v>0</v>
      </c>
      <c r="G114" s="610">
        <f>F114-E114</f>
        <v>0</v>
      </c>
      <c r="H114" s="642">
        <f>SUM(H111:H113)</f>
        <v>0</v>
      </c>
      <c r="I114" s="609">
        <f>SUM(I111:I113)</f>
        <v>0</v>
      </c>
      <c r="J114" s="613"/>
      <c r="K114" s="614"/>
      <c r="L114" s="781" t="s">
        <v>231</v>
      </c>
      <c r="M114" s="769" t="s">
        <v>231</v>
      </c>
      <c r="N114" s="723"/>
      <c r="O114" s="724"/>
      <c r="P114" s="728"/>
      <c r="Q114" s="729"/>
    </row>
    <row r="115" spans="1:17" ht="12.75" customHeight="1" thickTop="1" thickBot="1" x14ac:dyDescent="0.25">
      <c r="A115" s="1936" t="s">
        <v>167</v>
      </c>
      <c r="B115" s="1979"/>
      <c r="C115" s="1979"/>
      <c r="D115" s="1980"/>
      <c r="E115" s="643">
        <f>E105+E114</f>
        <v>0</v>
      </c>
      <c r="F115" s="644">
        <f>F105+F114</f>
        <v>0</v>
      </c>
      <c r="G115" s="645">
        <f t="shared" si="18"/>
        <v>0</v>
      </c>
      <c r="H115" s="646">
        <f>H105+H114</f>
        <v>0</v>
      </c>
      <c r="I115" s="647">
        <f>I105+I114</f>
        <v>0</v>
      </c>
      <c r="J115" s="648"/>
      <c r="K115" s="649"/>
      <c r="L115" s="740"/>
      <c r="M115" s="739"/>
      <c r="N115" s="738"/>
      <c r="O115" s="739"/>
      <c r="P115" s="734"/>
      <c r="Q115" s="735"/>
    </row>
    <row r="116" spans="1:17" ht="12.75" customHeight="1" thickTop="1" x14ac:dyDescent="0.2">
      <c r="A116" s="103"/>
      <c r="E116" s="103" t="s">
        <v>99</v>
      </c>
      <c r="G116" s="653" t="s">
        <v>32</v>
      </c>
      <c r="H116" s="654"/>
      <c r="I116" s="654"/>
      <c r="J116" s="655"/>
      <c r="K116" s="656">
        <f>'財務諸表（入力）'!G102+'財務諸表（入力）'!G142</f>
        <v>0</v>
      </c>
      <c r="L116" s="741"/>
      <c r="M116" s="657">
        <f>K116</f>
        <v>0</v>
      </c>
      <c r="N116" s="744"/>
      <c r="O116" s="745"/>
      <c r="P116" s="736"/>
      <c r="Q116" s="737"/>
    </row>
    <row r="117" spans="1:17" ht="12.75" customHeight="1" x14ac:dyDescent="0.2">
      <c r="A117" s="103"/>
      <c r="D117" s="658"/>
      <c r="E117" s="103"/>
      <c r="G117" s="417" t="s">
        <v>399</v>
      </c>
      <c r="H117" s="599"/>
      <c r="I117" s="567"/>
      <c r="J117" s="635">
        <f>IF(('財務諸表（入力）'!M83+'財務諸表（入力）'!M84)&lt;1,('財務諸表（入力）'!M83+'財務諸表（入力）'!M84)*-1,0)</f>
        <v>0</v>
      </c>
      <c r="K117" s="568">
        <f>IF(('財務諸表（入力）'!M83+'財務諸表（入力）'!M84)&gt;1,('財務諸表（入力）'!M83+'財務諸表（入力）'!M84),0)</f>
        <v>0</v>
      </c>
      <c r="L117" s="742"/>
      <c r="M117" s="696"/>
      <c r="N117" s="719"/>
      <c r="O117" s="696"/>
      <c r="P117" s="573">
        <f>J117</f>
        <v>0</v>
      </c>
      <c r="Q117" s="234">
        <f>K117</f>
        <v>0</v>
      </c>
    </row>
    <row r="118" spans="1:17" ht="12.75" customHeight="1" x14ac:dyDescent="0.2">
      <c r="A118" s="103" t="s">
        <v>100</v>
      </c>
      <c r="D118" s="658"/>
      <c r="E118" s="103"/>
      <c r="G118" s="417"/>
      <c r="H118" s="599"/>
      <c r="I118" s="567"/>
      <c r="J118" s="570"/>
      <c r="K118" s="660"/>
      <c r="L118" s="742"/>
      <c r="M118" s="696"/>
      <c r="N118" s="719"/>
      <c r="O118" s="696"/>
      <c r="P118" s="706"/>
      <c r="Q118" s="713"/>
    </row>
    <row r="119" spans="1:17" ht="12.75" customHeight="1" x14ac:dyDescent="0.2">
      <c r="A119" s="661" t="s">
        <v>101</v>
      </c>
      <c r="F119" s="103"/>
      <c r="G119" s="207" t="s">
        <v>56</v>
      </c>
      <c r="H119" s="599"/>
      <c r="I119" s="567"/>
      <c r="J119" s="635">
        <f>'財務諸表（入力）'!G173</f>
        <v>0</v>
      </c>
      <c r="K119" s="568"/>
      <c r="L119" s="659">
        <f>J119</f>
        <v>0</v>
      </c>
      <c r="M119" s="696"/>
      <c r="N119" s="719"/>
      <c r="O119" s="696"/>
      <c r="P119" s="706"/>
      <c r="Q119" s="713"/>
    </row>
    <row r="120" spans="1:17" ht="12.75" customHeight="1" x14ac:dyDescent="0.2">
      <c r="A120" s="662" t="s">
        <v>102</v>
      </c>
      <c r="B120" s="663"/>
      <c r="C120" s="663"/>
      <c r="D120" s="664"/>
      <c r="E120" s="665">
        <f>'財務諸表（入力）'!E58</f>
        <v>0</v>
      </c>
      <c r="F120" s="103"/>
      <c r="G120" s="207" t="s">
        <v>57</v>
      </c>
      <c r="H120" s="567"/>
      <c r="I120" s="567"/>
      <c r="J120" s="635">
        <f>'財務諸表（入力）'!G174</f>
        <v>0</v>
      </c>
      <c r="K120" s="568"/>
      <c r="L120" s="659">
        <f>J120</f>
        <v>0</v>
      </c>
      <c r="M120" s="696"/>
      <c r="N120" s="719"/>
      <c r="O120" s="696"/>
      <c r="P120" s="706"/>
      <c r="Q120" s="713"/>
    </row>
    <row r="121" spans="1:17" ht="12.75" customHeight="1" x14ac:dyDescent="0.2">
      <c r="A121" s="666" t="s">
        <v>59</v>
      </c>
      <c r="E121" s="239">
        <f>'財務諸表（入力）'!G170</f>
        <v>0</v>
      </c>
      <c r="F121" s="103"/>
      <c r="G121" s="207" t="s">
        <v>104</v>
      </c>
      <c r="H121" s="567"/>
      <c r="I121" s="567"/>
      <c r="J121" s="635">
        <f>'財務諸表（入力）'!G170</f>
        <v>0</v>
      </c>
      <c r="K121" s="568"/>
      <c r="L121" s="659">
        <f>J121+J122-K122</f>
        <v>0</v>
      </c>
      <c r="M121" s="696"/>
      <c r="N121" s="719"/>
      <c r="O121" s="696"/>
      <c r="P121" s="706"/>
      <c r="Q121" s="713"/>
    </row>
    <row r="122" spans="1:17" ht="12.75" customHeight="1" x14ac:dyDescent="0.2">
      <c r="A122" s="666" t="s">
        <v>60</v>
      </c>
      <c r="D122" s="658"/>
      <c r="E122" s="239">
        <f>'財務諸表（入力）'!G58</f>
        <v>0</v>
      </c>
      <c r="F122" s="103"/>
      <c r="G122" s="417" t="s">
        <v>404</v>
      </c>
      <c r="H122" s="567"/>
      <c r="I122" s="567"/>
      <c r="J122" s="635">
        <f>K92</f>
        <v>0</v>
      </c>
      <c r="K122" s="568">
        <f>J92</f>
        <v>0</v>
      </c>
      <c r="L122" s="742"/>
      <c r="M122" s="696"/>
      <c r="N122" s="719"/>
      <c r="O122" s="696"/>
      <c r="P122" s="706"/>
      <c r="Q122" s="713"/>
    </row>
    <row r="123" spans="1:17" ht="12.75" customHeight="1" thickBot="1" x14ac:dyDescent="0.25">
      <c r="A123" s="338"/>
      <c r="B123" s="667"/>
      <c r="C123" s="667"/>
      <c r="D123" s="668"/>
      <c r="E123" s="337">
        <f>E120+E121-E122</f>
        <v>0</v>
      </c>
      <c r="F123" s="103"/>
      <c r="G123" s="209" t="s">
        <v>53</v>
      </c>
      <c r="H123" s="669"/>
      <c r="I123" s="669"/>
      <c r="J123" s="670"/>
      <c r="K123" s="671">
        <f>'財務諸表（入力）'!G169</f>
        <v>0</v>
      </c>
      <c r="L123" s="743"/>
      <c r="M123" s="672">
        <f>K123</f>
        <v>0</v>
      </c>
      <c r="N123" s="746"/>
      <c r="O123" s="747"/>
      <c r="P123" s="748"/>
      <c r="Q123" s="749"/>
    </row>
    <row r="124" spans="1:17" ht="12.75" customHeight="1" thickBot="1" x14ac:dyDescent="0.25">
      <c r="D124" s="658" t="s">
        <v>103</v>
      </c>
      <c r="E124" s="100">
        <f>L121-E123</f>
        <v>0</v>
      </c>
      <c r="F124" s="103"/>
      <c r="G124" s="673" t="s">
        <v>105</v>
      </c>
      <c r="H124" s="674"/>
      <c r="I124" s="674"/>
      <c r="J124" s="618">
        <f>SUM(J42:J123)-J109-J110</f>
        <v>0</v>
      </c>
      <c r="K124" s="616">
        <f>SUM(K42:K123)-K109-K110</f>
        <v>0</v>
      </c>
      <c r="L124" s="622">
        <f t="shared" ref="L124:Q124" si="23">SUM(L42:L123)</f>
        <v>0</v>
      </c>
      <c r="M124" s="623">
        <f t="shared" si="23"/>
        <v>0</v>
      </c>
      <c r="N124" s="782">
        <f t="shared" si="23"/>
        <v>0</v>
      </c>
      <c r="O124" s="621">
        <f t="shared" si="23"/>
        <v>0</v>
      </c>
      <c r="P124" s="624">
        <f t="shared" si="23"/>
        <v>0</v>
      </c>
      <c r="Q124" s="166">
        <f t="shared" si="23"/>
        <v>0</v>
      </c>
    </row>
    <row r="125" spans="1:17" ht="12.75" customHeight="1" thickBot="1" x14ac:dyDescent="0.25">
      <c r="D125" s="658"/>
      <c r="E125" s="103"/>
      <c r="G125" s="259" t="s">
        <v>106</v>
      </c>
      <c r="H125" s="675"/>
      <c r="J125" s="676"/>
      <c r="K125" s="666"/>
      <c r="L125" s="878">
        <f>IF(L124-M124&gt;0,0,(L124-M124)*-1)</f>
        <v>0</v>
      </c>
      <c r="M125" s="879">
        <f>IF(L124-M124&lt;0,0,L124-M124)</f>
        <v>0</v>
      </c>
      <c r="N125" s="878">
        <f>IF(N124-O124&gt;0,0,(N124-O124)*-1)</f>
        <v>0</v>
      </c>
      <c r="O125" s="879">
        <f>IF(N124-O124&lt;0,0,N124-O124)</f>
        <v>0</v>
      </c>
      <c r="P125" s="877">
        <f>M125+O125</f>
        <v>0</v>
      </c>
      <c r="Q125" s="239">
        <f>L125+N125</f>
        <v>0</v>
      </c>
    </row>
    <row r="126" spans="1:17" ht="12.75" customHeight="1" thickTop="1" thickBot="1" x14ac:dyDescent="0.25">
      <c r="F126" s="103"/>
      <c r="G126" s="677" t="s">
        <v>40</v>
      </c>
      <c r="H126" s="678"/>
      <c r="I126" s="678"/>
      <c r="J126" s="679"/>
      <c r="K126" s="649"/>
      <c r="L126" s="783">
        <f t="shared" ref="L126:Q126" si="24">L124+L125</f>
        <v>0</v>
      </c>
      <c r="M126" s="649">
        <f t="shared" si="24"/>
        <v>0</v>
      </c>
      <c r="N126" s="651">
        <f t="shared" si="24"/>
        <v>0</v>
      </c>
      <c r="O126" s="650">
        <f t="shared" si="24"/>
        <v>0</v>
      </c>
      <c r="P126" s="651">
        <f t="shared" si="24"/>
        <v>0</v>
      </c>
      <c r="Q126" s="652">
        <f t="shared" si="24"/>
        <v>0</v>
      </c>
    </row>
    <row r="127" spans="1:17" ht="12.75" customHeight="1" thickTop="1" x14ac:dyDescent="0.2">
      <c r="A127" s="4"/>
      <c r="B127" s="4"/>
      <c r="C127" s="4"/>
      <c r="D127" s="4"/>
      <c r="E127" s="4"/>
      <c r="F127" s="4"/>
      <c r="L127" s="103" t="str">
        <f>L40</f>
        <v>固定資金</v>
      </c>
      <c r="N127" s="100" t="str">
        <f>N40</f>
        <v>運転資金</v>
      </c>
      <c r="P127" s="100" t="str">
        <f>P40</f>
        <v>財務資金</v>
      </c>
    </row>
    <row r="128" spans="1:17" ht="12.75" customHeight="1" x14ac:dyDescent="0.2">
      <c r="A128" s="4"/>
      <c r="B128" s="4"/>
      <c r="C128" s="4"/>
      <c r="D128" s="4"/>
      <c r="E128" s="4"/>
      <c r="F128" s="4"/>
      <c r="J128" s="199" t="s">
        <v>107</v>
      </c>
      <c r="K128" s="100">
        <f>J124-K124</f>
        <v>0</v>
      </c>
      <c r="L128" s="199" t="s">
        <v>107</v>
      </c>
      <c r="M128" s="100">
        <f>L126-M126</f>
        <v>0</v>
      </c>
      <c r="N128" s="199" t="s">
        <v>107</v>
      </c>
      <c r="O128" s="100">
        <f>N126-O126</f>
        <v>0</v>
      </c>
      <c r="P128" s="199" t="s">
        <v>107</v>
      </c>
      <c r="Q128" s="100">
        <f>P126-Q126</f>
        <v>0</v>
      </c>
    </row>
    <row r="129" spans="1:35" ht="22.5" customHeight="1" x14ac:dyDescent="0.2">
      <c r="A129" s="523">
        <f>'財務諸表（入力）'!D1</f>
        <v>0</v>
      </c>
      <c r="B129" s="321"/>
      <c r="D129" s="524"/>
      <c r="E129" s="38"/>
      <c r="F129" s="525"/>
      <c r="P129" s="2024"/>
      <c r="Q129" s="2025"/>
      <c r="S129" s="526" t="str">
        <f>'財務諸表（入力）'!A127</f>
        <v>項目</v>
      </c>
      <c r="T129" s="527"/>
      <c r="U129" s="527">
        <f>'財務諸表（入力）'!D127</f>
        <v>0</v>
      </c>
      <c r="V129" s="528"/>
      <c r="W129" s="102" t="s">
        <v>163</v>
      </c>
      <c r="AH129" s="320"/>
    </row>
    <row r="130" spans="1:35" ht="22.5" customHeight="1" x14ac:dyDescent="0.2">
      <c r="A130" s="97"/>
      <c r="B130" s="529"/>
      <c r="C130" s="97"/>
      <c r="D130" s="524"/>
      <c r="E130" s="38"/>
      <c r="F130" s="525"/>
      <c r="P130" s="320"/>
      <c r="S130" s="526"/>
      <c r="T130" s="527"/>
      <c r="U130" s="527"/>
      <c r="V130" s="528"/>
      <c r="W130" s="102"/>
      <c r="AH130" s="320"/>
    </row>
    <row r="131" spans="1:35" ht="22.5" customHeight="1" x14ac:dyDescent="0.2">
      <c r="A131" s="523" t="str">
        <f>CONCATENATE("■ ",F169,"　資金運用表分析")</f>
        <v>■ 今期　資金運用表分析</v>
      </c>
      <c r="B131" s="529"/>
      <c r="C131" s="97"/>
      <c r="D131" s="524"/>
      <c r="E131" s="38"/>
      <c r="F131" s="525"/>
      <c r="P131" s="320"/>
      <c r="S131" s="526"/>
      <c r="T131" s="527"/>
      <c r="U131" s="527"/>
      <c r="V131" s="528"/>
      <c r="W131" s="102"/>
      <c r="AH131" s="320"/>
    </row>
    <row r="132" spans="1:35" ht="8.25" customHeight="1" x14ac:dyDescent="0.2">
      <c r="A132" s="98"/>
      <c r="B132" s="529"/>
      <c r="C132" s="97"/>
      <c r="D132" s="524"/>
      <c r="E132" s="38"/>
      <c r="P132" s="320"/>
      <c r="S132" s="526"/>
      <c r="T132" s="527"/>
      <c r="U132" s="527"/>
      <c r="V132" s="528"/>
      <c r="W132" s="102"/>
      <c r="AH132" s="320"/>
    </row>
    <row r="133" spans="1:35" ht="19.5" customHeight="1" x14ac:dyDescent="0.2">
      <c r="A133" s="97"/>
      <c r="B133" s="529"/>
      <c r="C133" s="529"/>
      <c r="D133" s="336"/>
      <c r="E133" s="38"/>
      <c r="I133" s="106" t="s">
        <v>417</v>
      </c>
      <c r="K133"/>
      <c r="L133"/>
      <c r="M133"/>
      <c r="N133"/>
      <c r="O133"/>
      <c r="P133"/>
      <c r="Q133"/>
      <c r="S133" s="530">
        <f>'財務諸表（入力）'!J132</f>
        <v>0</v>
      </c>
      <c r="T133" s="527"/>
      <c r="U133" s="527"/>
      <c r="V133" s="531"/>
      <c r="W133" s="102" t="s">
        <v>164</v>
      </c>
      <c r="AH133" s="532"/>
      <c r="AI133" s="532"/>
    </row>
    <row r="134" spans="1:35" ht="19.5" customHeight="1" x14ac:dyDescent="0.2">
      <c r="A134" s="529"/>
      <c r="B134" s="529"/>
      <c r="C134" s="529"/>
      <c r="D134" s="1967" t="s">
        <v>65</v>
      </c>
      <c r="E134" s="1968"/>
      <c r="F134" s="1968"/>
      <c r="G134" s="1967" t="s">
        <v>408</v>
      </c>
      <c r="H134" s="1968"/>
      <c r="I134" s="1968"/>
      <c r="J134" s="529"/>
      <c r="K134"/>
      <c r="L134"/>
      <c r="M134"/>
      <c r="N134"/>
      <c r="O134"/>
      <c r="P134"/>
      <c r="Q134"/>
      <c r="S134" s="533"/>
      <c r="T134" s="527"/>
      <c r="U134" s="527"/>
      <c r="V134" s="531"/>
      <c r="W134" s="102"/>
      <c r="AH134" s="532"/>
      <c r="AI134" s="532"/>
    </row>
    <row r="135" spans="1:35" ht="19.5" customHeight="1" x14ac:dyDescent="0.2">
      <c r="A135" s="1986" t="s">
        <v>412</v>
      </c>
      <c r="B135" s="1986"/>
      <c r="C135" s="1986"/>
      <c r="D135" s="2014" t="s">
        <v>172</v>
      </c>
      <c r="E135" s="1988"/>
      <c r="F135" s="534">
        <f>L249</f>
        <v>0</v>
      </c>
      <c r="G135" s="1924" t="s">
        <v>409</v>
      </c>
      <c r="H135" s="1556"/>
      <c r="I135" s="534">
        <f>M251</f>
        <v>0</v>
      </c>
      <c r="J135" s="529"/>
      <c r="K135"/>
      <c r="L135"/>
      <c r="M135"/>
      <c r="N135"/>
      <c r="O135"/>
      <c r="P135"/>
      <c r="Q135"/>
      <c r="S135" s="533"/>
      <c r="T135" s="527"/>
      <c r="U135" s="527"/>
      <c r="V135" s="531"/>
      <c r="W135" s="102"/>
      <c r="AH135" s="532"/>
      <c r="AI135" s="532"/>
    </row>
    <row r="136" spans="1:35" ht="19.5" customHeight="1" x14ac:dyDescent="0.2">
      <c r="A136" s="1986"/>
      <c r="B136" s="1986"/>
      <c r="C136" s="1986"/>
      <c r="D136" s="1916" t="s">
        <v>70</v>
      </c>
      <c r="E136" s="1917"/>
      <c r="F136" s="535">
        <f>L247</f>
        <v>0</v>
      </c>
      <c r="G136" s="1925" t="s">
        <v>410</v>
      </c>
      <c r="H136" s="1554"/>
      <c r="I136" s="535">
        <f>M244</f>
        <v>0</v>
      </c>
      <c r="J136" s="529"/>
      <c r="K136"/>
      <c r="L136"/>
      <c r="M136"/>
      <c r="N136"/>
      <c r="O136"/>
      <c r="P136"/>
      <c r="Q136"/>
      <c r="S136" s="533"/>
      <c r="T136" s="527"/>
      <c r="U136" s="527"/>
      <c r="V136" s="531"/>
      <c r="W136" s="102"/>
      <c r="AH136" s="532"/>
      <c r="AI136" s="532"/>
    </row>
    <row r="137" spans="1:35" ht="19.5" customHeight="1" x14ac:dyDescent="0.2">
      <c r="A137" s="1986"/>
      <c r="B137" s="1986"/>
      <c r="C137" s="1986"/>
      <c r="D137" s="1916" t="s">
        <v>71</v>
      </c>
      <c r="E137" s="1917"/>
      <c r="F137" s="535">
        <f>L248</f>
        <v>0</v>
      </c>
      <c r="G137" s="1925" t="s">
        <v>395</v>
      </c>
      <c r="H137" s="1554"/>
      <c r="I137" s="535">
        <f>(M234+M235+M236)-(L234+L235+L236)+(M240+M241)-(L240+L241)</f>
        <v>0</v>
      </c>
      <c r="J137" s="529"/>
      <c r="K137"/>
      <c r="L137"/>
      <c r="M137"/>
      <c r="N137"/>
      <c r="O137"/>
      <c r="P137"/>
      <c r="Q137"/>
      <c r="S137" s="533"/>
      <c r="T137" s="527"/>
      <c r="U137" s="527"/>
      <c r="V137" s="531"/>
      <c r="W137" s="102"/>
      <c r="AH137" s="532"/>
      <c r="AI137" s="532"/>
    </row>
    <row r="138" spans="1:35" ht="19.5" customHeight="1" x14ac:dyDescent="0.2">
      <c r="A138" s="1986"/>
      <c r="B138" s="1986"/>
      <c r="C138" s="1986"/>
      <c r="D138" s="1916" t="s">
        <v>397</v>
      </c>
      <c r="E138" s="1917"/>
      <c r="F138" s="535">
        <f>L200</f>
        <v>0</v>
      </c>
      <c r="G138" s="1925" t="s">
        <v>398</v>
      </c>
      <c r="H138" s="1554"/>
      <c r="I138" s="535">
        <f>M200</f>
        <v>0</v>
      </c>
      <c r="J138" s="529"/>
      <c r="K138"/>
      <c r="L138"/>
      <c r="M138"/>
      <c r="N138"/>
      <c r="O138"/>
      <c r="P138"/>
      <c r="Q138"/>
      <c r="S138" s="533"/>
      <c r="T138" s="527"/>
      <c r="U138" s="527"/>
      <c r="V138" s="531"/>
      <c r="W138" s="102"/>
      <c r="AH138" s="532"/>
      <c r="AI138" s="532"/>
    </row>
    <row r="139" spans="1:35" ht="19.5" customHeight="1" x14ac:dyDescent="0.2">
      <c r="A139" s="1986"/>
      <c r="B139" s="1986"/>
      <c r="C139" s="1986"/>
      <c r="D139" s="1916" t="s">
        <v>466</v>
      </c>
      <c r="E139" s="1917"/>
      <c r="F139" s="535">
        <f>L225+L229</f>
        <v>0</v>
      </c>
      <c r="G139" s="1925" t="s">
        <v>467</v>
      </c>
      <c r="H139" s="1554"/>
      <c r="I139" s="535">
        <f>M225+M229</f>
        <v>0</v>
      </c>
      <c r="J139" s="529"/>
      <c r="K139"/>
      <c r="L139"/>
      <c r="M139"/>
      <c r="N139"/>
      <c r="O139"/>
      <c r="P139"/>
      <c r="Q139"/>
      <c r="S139" s="533"/>
      <c r="T139" s="527"/>
      <c r="U139" s="527"/>
      <c r="V139" s="531"/>
      <c r="W139" s="102"/>
      <c r="AH139" s="532"/>
      <c r="AI139" s="532"/>
    </row>
    <row r="140" spans="1:35" ht="19.5" customHeight="1" x14ac:dyDescent="0.2">
      <c r="A140" s="1986"/>
      <c r="B140" s="1986"/>
      <c r="C140" s="1986"/>
      <c r="D140" s="1916" t="s">
        <v>401</v>
      </c>
      <c r="E140" s="1917"/>
      <c r="F140" s="535">
        <f>IF(SUM(L202:L209)&gt;SUM(M202:M209),SUM(L202:L209)-SUM(M202:M209),0)</f>
        <v>0</v>
      </c>
      <c r="G140" s="1925" t="s">
        <v>400</v>
      </c>
      <c r="H140" s="1554"/>
      <c r="I140" s="535">
        <f>IF(SUM(L202:L209)&lt;SUM(M202:M209),SUM(M202:M209)-SUM(L202:L209),0)</f>
        <v>0</v>
      </c>
      <c r="J140" s="529"/>
      <c r="K140"/>
      <c r="L140"/>
      <c r="M140"/>
      <c r="N140"/>
      <c r="O140"/>
      <c r="P140"/>
      <c r="Q140"/>
      <c r="S140" s="533"/>
      <c r="T140" s="527"/>
      <c r="U140" s="527"/>
      <c r="V140" s="531"/>
      <c r="W140" s="102"/>
      <c r="AH140" s="532"/>
      <c r="AI140" s="532"/>
    </row>
    <row r="141" spans="1:35" ht="19.5" customHeight="1" x14ac:dyDescent="0.2">
      <c r="A141" s="1986"/>
      <c r="B141" s="1986"/>
      <c r="C141" s="1986"/>
      <c r="D141" s="1916" t="s">
        <v>72</v>
      </c>
      <c r="E141" s="1917"/>
      <c r="F141" s="535">
        <f>L201+L211</f>
        <v>0</v>
      </c>
      <c r="G141" s="1925" t="s">
        <v>73</v>
      </c>
      <c r="H141" s="1554"/>
      <c r="I141" s="535">
        <f>M201+M211</f>
        <v>0</v>
      </c>
      <c r="J141" s="529"/>
      <c r="K141"/>
      <c r="L141"/>
      <c r="M141"/>
      <c r="N141"/>
      <c r="O141"/>
      <c r="P141"/>
      <c r="Q141"/>
      <c r="S141" s="533"/>
      <c r="T141" s="527"/>
      <c r="U141" s="527"/>
      <c r="V141" s="531"/>
      <c r="W141" s="102"/>
      <c r="AH141" s="532"/>
      <c r="AI141" s="532"/>
    </row>
    <row r="142" spans="1:35" ht="19.5" customHeight="1" thickBot="1" x14ac:dyDescent="0.25">
      <c r="A142" s="1986"/>
      <c r="B142" s="1986"/>
      <c r="C142" s="1986"/>
      <c r="D142" s="1922" t="s">
        <v>414</v>
      </c>
      <c r="E142" s="1923"/>
      <c r="F142" s="680">
        <f>IF((SUM(L226:L231)-L229)-(SUM(M226:M231)-M229)&gt;0,(SUM(L226:L231)-L229)-(SUM(M226:M231)-M229),0)</f>
        <v>0</v>
      </c>
      <c r="G142" s="1911" t="s">
        <v>415</v>
      </c>
      <c r="H142" s="1912"/>
      <c r="I142" s="680">
        <f>IF((SUM(L226:L231)-L229)-(SUM(M226:M231)-M229)&lt;0,(SUM(M226:M231)-M229)-(SUM(L226:L231)-L229),0)</f>
        <v>0</v>
      </c>
      <c r="J142" s="529"/>
      <c r="K142"/>
      <c r="L142"/>
      <c r="M142"/>
      <c r="N142"/>
      <c r="O142"/>
      <c r="P142"/>
      <c r="Q142"/>
      <c r="S142" s="533"/>
      <c r="T142" s="527"/>
      <c r="U142" s="527"/>
      <c r="V142" s="531"/>
      <c r="W142" s="102"/>
      <c r="AH142" s="532"/>
      <c r="AI142" s="532"/>
    </row>
    <row r="143" spans="1:35" ht="19.5" customHeight="1" thickTop="1" thickBot="1" x14ac:dyDescent="0.25">
      <c r="A143" s="1986"/>
      <c r="B143" s="1986"/>
      <c r="C143" s="1987"/>
      <c r="D143" s="2031" t="s">
        <v>74</v>
      </c>
      <c r="E143" s="2032"/>
      <c r="F143" s="537">
        <f>L253</f>
        <v>0</v>
      </c>
      <c r="G143" s="1989" t="s">
        <v>75</v>
      </c>
      <c r="H143" s="1990"/>
      <c r="I143" s="538">
        <f>M253</f>
        <v>0</v>
      </c>
      <c r="J143" s="529"/>
      <c r="K143"/>
      <c r="L143"/>
      <c r="M143"/>
      <c r="N143"/>
      <c r="O143"/>
      <c r="P143"/>
      <c r="Q143"/>
      <c r="S143" s="533"/>
      <c r="T143" s="527"/>
      <c r="U143" s="527"/>
      <c r="V143" s="531"/>
      <c r="W143" s="102"/>
      <c r="AH143" s="532"/>
      <c r="AI143" s="532"/>
    </row>
    <row r="144" spans="1:35" ht="19.5" customHeight="1" thickTop="1" x14ac:dyDescent="0.2">
      <c r="A144" s="529"/>
      <c r="B144" s="529"/>
      <c r="C144" s="529"/>
      <c r="D144" s="1991" t="s">
        <v>40</v>
      </c>
      <c r="E144" s="1750"/>
      <c r="F144" s="539">
        <f>SUM(F135:F143)</f>
        <v>0</v>
      </c>
      <c r="G144" s="1991" t="s">
        <v>40</v>
      </c>
      <c r="H144" s="1750"/>
      <c r="I144" s="539">
        <f>SUM(I135:I143)</f>
        <v>0</v>
      </c>
      <c r="J144" s="529"/>
      <c r="K144"/>
      <c r="L144"/>
      <c r="M144"/>
      <c r="N144"/>
      <c r="O144"/>
      <c r="P144"/>
      <c r="Q144"/>
      <c r="S144" s="533"/>
      <c r="T144" s="527"/>
      <c r="U144" s="527"/>
      <c r="V144" s="531"/>
      <c r="W144" s="102"/>
      <c r="AH144" s="532"/>
      <c r="AI144" s="532"/>
    </row>
    <row r="145" spans="1:35" ht="19.5" customHeight="1" x14ac:dyDescent="0.2">
      <c r="A145" s="529"/>
      <c r="B145" s="529"/>
      <c r="C145" s="529"/>
      <c r="D145" s="1992" t="s">
        <v>178</v>
      </c>
      <c r="E145" s="1823"/>
      <c r="F145" s="540">
        <f>I144-F144</f>
        <v>0</v>
      </c>
      <c r="G145" s="1993" t="s">
        <v>411</v>
      </c>
      <c r="H145" s="1994"/>
      <c r="I145" s="541">
        <f>I135+I136</f>
        <v>0</v>
      </c>
      <c r="J145" s="529"/>
      <c r="K145"/>
      <c r="L145"/>
      <c r="M145"/>
      <c r="N145"/>
      <c r="O145"/>
      <c r="P145"/>
      <c r="Q145"/>
      <c r="S145" s="533"/>
      <c r="T145" s="527"/>
      <c r="U145" s="527"/>
      <c r="V145" s="531"/>
      <c r="W145" s="102"/>
      <c r="AH145" s="532"/>
      <c r="AI145" s="532"/>
    </row>
    <row r="146" spans="1:35" ht="19.5" customHeight="1" thickBot="1" x14ac:dyDescent="0.25">
      <c r="A146" s="529"/>
      <c r="B146" s="529"/>
      <c r="C146" s="529"/>
      <c r="D146" s="529"/>
      <c r="E146" s="38"/>
      <c r="F146" s="4"/>
      <c r="G146" s="4"/>
      <c r="H146" s="4"/>
      <c r="I146" s="4"/>
      <c r="J146" s="529"/>
      <c r="K146"/>
      <c r="L146"/>
      <c r="M146"/>
      <c r="N146"/>
      <c r="O146"/>
      <c r="P146"/>
      <c r="Q146"/>
      <c r="S146" s="533"/>
      <c r="T146" s="527"/>
      <c r="U146" s="527"/>
      <c r="V146" s="531"/>
      <c r="W146" s="102"/>
      <c r="AH146" s="532"/>
      <c r="AI146" s="532"/>
    </row>
    <row r="147" spans="1:35" ht="19.5" customHeight="1" x14ac:dyDescent="0.2">
      <c r="A147" s="1996" t="s">
        <v>416</v>
      </c>
      <c r="B147" s="1997"/>
      <c r="C147" s="1998"/>
      <c r="D147" s="1924" t="s">
        <v>76</v>
      </c>
      <c r="E147" s="1556"/>
      <c r="F147" s="534">
        <f>IF(N171+N172-O171-O172&gt;0,N171+N172-O171-O172,0)</f>
        <v>0</v>
      </c>
      <c r="G147" s="1924" t="s">
        <v>77</v>
      </c>
      <c r="H147" s="1556"/>
      <c r="I147" s="534">
        <f>IF(N214+N215-O214-O215&lt;0,O214+O215-N214-N215,0)</f>
        <v>0</v>
      </c>
      <c r="J147" s="529"/>
      <c r="K147" s="2015" t="s">
        <v>419</v>
      </c>
      <c r="L147" s="2016"/>
      <c r="M147" s="2016"/>
      <c r="N147" s="2016"/>
      <c r="O147" s="2016"/>
      <c r="P147" s="2016"/>
      <c r="Q147" s="2017"/>
      <c r="S147" s="533"/>
      <c r="T147" s="527"/>
      <c r="U147" s="527"/>
      <c r="V147" s="531"/>
      <c r="W147" s="102"/>
      <c r="AH147" s="532"/>
      <c r="AI147" s="532"/>
    </row>
    <row r="148" spans="1:35" ht="19.5" customHeight="1" x14ac:dyDescent="0.2">
      <c r="A148" s="1524"/>
      <c r="B148" s="1530"/>
      <c r="C148" s="1537"/>
      <c r="D148" s="1925" t="s">
        <v>78</v>
      </c>
      <c r="E148" s="1554"/>
      <c r="F148" s="535">
        <f>N179</f>
        <v>0</v>
      </c>
      <c r="G148" s="1925" t="s">
        <v>79</v>
      </c>
      <c r="H148" s="1554"/>
      <c r="I148" s="535">
        <f>IF(N185+N207-O185-O207&lt;0,O185+O207-N185-N207,0)</f>
        <v>0</v>
      </c>
      <c r="J148" s="529"/>
      <c r="K148" s="2018"/>
      <c r="L148" s="2019"/>
      <c r="M148" s="2019"/>
      <c r="N148" s="2019"/>
      <c r="O148" s="2019"/>
      <c r="P148" s="2019"/>
      <c r="Q148" s="2020"/>
      <c r="S148" s="533"/>
      <c r="T148" s="527"/>
      <c r="U148" s="527"/>
      <c r="V148" s="531"/>
      <c r="W148" s="102"/>
      <c r="AH148" s="532"/>
      <c r="AI148" s="532"/>
    </row>
    <row r="149" spans="1:35" ht="19.5" customHeight="1" x14ac:dyDescent="0.2">
      <c r="A149" s="1524"/>
      <c r="B149" s="1530"/>
      <c r="C149" s="1537"/>
      <c r="D149" s="1925" t="s">
        <v>80</v>
      </c>
      <c r="E149" s="1554"/>
      <c r="F149" s="535">
        <f>IF(SUM(N180,N181,N182,N183,N184,N186,N187,N188,N189)-SUM(O180,O181,O182,O183,O184,O186,O187,O188,O189)&gt;0,SUM(N180,N181,N182,N183,N184,N186,N187,N188,N189)-SUM(O180,O181,O182,O183,O184,O186,O187,O188,O189),0)</f>
        <v>0</v>
      </c>
      <c r="G149" s="1925" t="s">
        <v>83</v>
      </c>
      <c r="H149" s="1554"/>
      <c r="I149" s="535">
        <f>IF(SUM(N217:N223)-SUM(O217:O223)&lt;0,SUM(O217:O223)-SUM(N217:N223),0)</f>
        <v>0</v>
      </c>
      <c r="J149" s="529"/>
      <c r="K149" s="2018"/>
      <c r="L149" s="2019"/>
      <c r="M149" s="2019"/>
      <c r="N149" s="2019"/>
      <c r="O149" s="2019"/>
      <c r="P149" s="2019"/>
      <c r="Q149" s="2020"/>
      <c r="S149" s="533"/>
      <c r="T149" s="527"/>
      <c r="U149" s="527"/>
      <c r="V149" s="531"/>
      <c r="W149" s="102"/>
      <c r="AH149" s="532"/>
      <c r="AI149" s="532"/>
    </row>
    <row r="150" spans="1:35" ht="19.5" customHeight="1" x14ac:dyDescent="0.2">
      <c r="A150" s="1524"/>
      <c r="B150" s="1530"/>
      <c r="C150" s="1537"/>
      <c r="D150" s="1925" t="s">
        <v>81</v>
      </c>
      <c r="E150" s="1554"/>
      <c r="F150" s="535">
        <f>IF(N214+N215-O214-O215&gt;0,N214+N215-O214-O215,0)</f>
        <v>0</v>
      </c>
      <c r="G150" s="1925" t="s">
        <v>85</v>
      </c>
      <c r="H150" s="1554"/>
      <c r="I150" s="535">
        <f>IF(N171+N172-O171-O172&lt;0,O171+O172-N171-N172,0)</f>
        <v>0</v>
      </c>
      <c r="J150" s="529"/>
      <c r="K150" s="2018"/>
      <c r="L150" s="2019"/>
      <c r="M150" s="2019"/>
      <c r="N150" s="2019"/>
      <c r="O150" s="2019"/>
      <c r="P150" s="2019"/>
      <c r="Q150" s="2020"/>
      <c r="S150" s="533"/>
      <c r="T150" s="527"/>
      <c r="U150" s="527"/>
      <c r="V150" s="531"/>
      <c r="W150" s="102"/>
      <c r="AH150" s="532"/>
      <c r="AI150" s="532"/>
    </row>
    <row r="151" spans="1:35" ht="19.5" customHeight="1" x14ac:dyDescent="0.2">
      <c r="A151" s="1524"/>
      <c r="B151" s="1530"/>
      <c r="C151" s="1537"/>
      <c r="D151" s="1925" t="s">
        <v>82</v>
      </c>
      <c r="E151" s="1554"/>
      <c r="F151" s="535">
        <f>IF(SUM(N217:N223)-SUM(O217:O223)&gt;0,SUM(N217:N223)-SUM(O217:O223),0)</f>
        <v>0</v>
      </c>
      <c r="G151" s="1925" t="s">
        <v>86</v>
      </c>
      <c r="H151" s="1554"/>
      <c r="I151" s="535">
        <f>O179</f>
        <v>0</v>
      </c>
      <c r="J151" s="529"/>
      <c r="K151" s="2018"/>
      <c r="L151" s="2019"/>
      <c r="M151" s="2019"/>
      <c r="N151" s="2019"/>
      <c r="O151" s="2019"/>
      <c r="P151" s="2019"/>
      <c r="Q151" s="2020"/>
      <c r="S151" s="533"/>
      <c r="T151" s="527"/>
      <c r="U151" s="527"/>
      <c r="V151" s="531"/>
      <c r="W151" s="102"/>
      <c r="AH151" s="532"/>
      <c r="AI151" s="532"/>
    </row>
    <row r="152" spans="1:35" ht="19.5" customHeight="1" x14ac:dyDescent="0.2">
      <c r="A152" s="1524"/>
      <c r="B152" s="1530"/>
      <c r="C152" s="1537"/>
      <c r="D152" s="1925" t="s">
        <v>84</v>
      </c>
      <c r="E152" s="1554"/>
      <c r="F152" s="535">
        <f>IF(N185+N207-O185-O207&gt;0,N185+N207-O185-O207,0)</f>
        <v>0</v>
      </c>
      <c r="G152" s="1925" t="s">
        <v>88</v>
      </c>
      <c r="H152" s="1554"/>
      <c r="I152" s="535">
        <f>IF(SUM(N180,N181,N182,N183,N184,N186,N187,N188,N189)-SUM(O180,O181,O182,O183,O184,O186,O187,O188,O189)&lt;0,SUM(O180,O181,O182,O183,O184,O186,O187,O188,O189)-SUM(N180,N181,N182,N183,N184,N186,N187,N188,N189),0)</f>
        <v>0</v>
      </c>
      <c r="J152" s="529"/>
      <c r="K152" s="2018"/>
      <c r="L152" s="2019"/>
      <c r="M152" s="2019"/>
      <c r="N152" s="2019"/>
      <c r="O152" s="2019"/>
      <c r="P152" s="2019"/>
      <c r="Q152" s="2020"/>
      <c r="S152" s="533"/>
      <c r="T152" s="527"/>
      <c r="U152" s="527"/>
      <c r="V152" s="531"/>
      <c r="W152" s="102"/>
      <c r="AH152" s="532"/>
      <c r="AI152" s="532"/>
    </row>
    <row r="153" spans="1:35" ht="19.5" customHeight="1" thickBot="1" x14ac:dyDescent="0.25">
      <c r="A153" s="1524"/>
      <c r="B153" s="1530"/>
      <c r="C153" s="1537"/>
      <c r="D153" s="1911" t="s">
        <v>87</v>
      </c>
      <c r="E153" s="1912"/>
      <c r="F153" s="680">
        <f>N173</f>
        <v>0</v>
      </c>
      <c r="G153" s="1911" t="s">
        <v>89</v>
      </c>
      <c r="H153" s="1912"/>
      <c r="I153" s="680">
        <f>O173</f>
        <v>0</v>
      </c>
      <c r="J153" s="529"/>
      <c r="K153" s="2018"/>
      <c r="L153" s="2019"/>
      <c r="M153" s="2019"/>
      <c r="N153" s="2019"/>
      <c r="O153" s="2019"/>
      <c r="P153" s="2019"/>
      <c r="Q153" s="2020"/>
      <c r="S153" s="533"/>
      <c r="T153" s="527"/>
      <c r="U153" s="527"/>
      <c r="V153" s="531"/>
      <c r="W153" s="102"/>
      <c r="AH153" s="532"/>
      <c r="AI153" s="532"/>
    </row>
    <row r="154" spans="1:35" ht="19.5" customHeight="1" thickTop="1" thickBot="1" x14ac:dyDescent="0.25">
      <c r="A154" s="1999"/>
      <c r="B154" s="2000"/>
      <c r="C154" s="2000"/>
      <c r="D154" s="1995" t="s">
        <v>74</v>
      </c>
      <c r="E154" s="1990"/>
      <c r="F154" s="537">
        <f>N253</f>
        <v>0</v>
      </c>
      <c r="G154" s="1989" t="s">
        <v>75</v>
      </c>
      <c r="H154" s="1990"/>
      <c r="I154" s="538">
        <f>O253</f>
        <v>0</v>
      </c>
      <c r="J154" s="529"/>
      <c r="K154" s="2018"/>
      <c r="L154" s="2019"/>
      <c r="M154" s="2019"/>
      <c r="N154" s="2019"/>
      <c r="O154" s="2019"/>
      <c r="P154" s="2019"/>
      <c r="Q154" s="2020"/>
      <c r="S154" s="533"/>
      <c r="T154" s="527"/>
      <c r="U154" s="527"/>
      <c r="V154" s="531"/>
      <c r="W154" s="102"/>
      <c r="AH154" s="532"/>
      <c r="AI154" s="532"/>
    </row>
    <row r="155" spans="1:35" ht="19.5" customHeight="1" thickTop="1" x14ac:dyDescent="0.2">
      <c r="A155" s="542"/>
      <c r="B155" s="542"/>
      <c r="C155" s="542"/>
      <c r="D155" s="1991" t="s">
        <v>40</v>
      </c>
      <c r="E155" s="1750"/>
      <c r="F155" s="539">
        <f>SUM(F147:F154)</f>
        <v>0</v>
      </c>
      <c r="G155" s="1991" t="s">
        <v>40</v>
      </c>
      <c r="H155" s="1750"/>
      <c r="I155" s="539">
        <f>SUM(I147:I154)</f>
        <v>0</v>
      </c>
      <c r="J155" s="529"/>
      <c r="K155" s="2018"/>
      <c r="L155" s="2019"/>
      <c r="M155" s="2019"/>
      <c r="N155" s="2019"/>
      <c r="O155" s="2019"/>
      <c r="P155" s="2019"/>
      <c r="Q155" s="2020"/>
      <c r="S155" s="533"/>
      <c r="T155" s="527"/>
      <c r="U155" s="527"/>
      <c r="V155" s="531"/>
      <c r="W155" s="102"/>
      <c r="AH155" s="532"/>
      <c r="AI155" s="532"/>
    </row>
    <row r="156" spans="1:35" ht="19.5" customHeight="1" x14ac:dyDescent="0.2">
      <c r="A156" s="529"/>
      <c r="B156" s="529"/>
      <c r="C156" s="529"/>
      <c r="D156" s="1992" t="s">
        <v>178</v>
      </c>
      <c r="E156" s="1823"/>
      <c r="F156" s="540">
        <f>I155-F155</f>
        <v>0</v>
      </c>
      <c r="G156" s="529"/>
      <c r="H156" s="38"/>
      <c r="I156" s="529"/>
      <c r="J156" s="529"/>
      <c r="K156" s="2018"/>
      <c r="L156" s="2019"/>
      <c r="M156" s="2019"/>
      <c r="N156" s="2019"/>
      <c r="O156" s="2019"/>
      <c r="P156" s="2019"/>
      <c r="Q156" s="2020"/>
      <c r="S156" s="533"/>
      <c r="T156" s="527"/>
      <c r="U156" s="527"/>
      <c r="V156" s="531"/>
      <c r="W156" s="102"/>
      <c r="AH156" s="532"/>
      <c r="AI156" s="532"/>
    </row>
    <row r="157" spans="1:35" ht="19.5" customHeight="1" thickBot="1" x14ac:dyDescent="0.25">
      <c r="A157" s="529"/>
      <c r="B157" s="529"/>
      <c r="C157" s="529"/>
      <c r="D157" s="529"/>
      <c r="E157" s="38"/>
      <c r="F157" s="529"/>
      <c r="G157" s="529"/>
      <c r="H157" s="38"/>
      <c r="I157" s="529"/>
      <c r="J157" s="529"/>
      <c r="K157" s="2018"/>
      <c r="L157" s="2019"/>
      <c r="M157" s="2019"/>
      <c r="N157" s="2019"/>
      <c r="O157" s="2019"/>
      <c r="P157" s="2019"/>
      <c r="Q157" s="2020"/>
      <c r="S157" s="533"/>
      <c r="T157" s="527"/>
      <c r="U157" s="527"/>
      <c r="V157" s="531"/>
      <c r="W157" s="102"/>
      <c r="AH157" s="532"/>
      <c r="AI157" s="532"/>
    </row>
    <row r="158" spans="1:35" ht="19.5" customHeight="1" thickBot="1" x14ac:dyDescent="0.25">
      <c r="A158" s="1904" t="s">
        <v>413</v>
      </c>
      <c r="B158" s="1905"/>
      <c r="C158" s="1905"/>
      <c r="D158" s="2004" t="s">
        <v>90</v>
      </c>
      <c r="E158" s="2005"/>
      <c r="F158" s="543">
        <f>P170</f>
        <v>0</v>
      </c>
      <c r="G158" s="1988" t="s">
        <v>91</v>
      </c>
      <c r="H158" s="1556"/>
      <c r="I158" s="534">
        <f>Q216</f>
        <v>0</v>
      </c>
      <c r="J158" s="529"/>
      <c r="K158" s="2018"/>
      <c r="L158" s="2019"/>
      <c r="M158" s="2019"/>
      <c r="N158" s="2019"/>
      <c r="O158" s="2019"/>
      <c r="P158" s="2019"/>
      <c r="Q158" s="2020"/>
      <c r="S158" s="533"/>
      <c r="T158" s="527"/>
      <c r="U158" s="527"/>
      <c r="V158" s="531"/>
      <c r="W158" s="102"/>
      <c r="AH158" s="532"/>
      <c r="AI158" s="532"/>
    </row>
    <row r="159" spans="1:35" ht="19.5" customHeight="1" thickBot="1" x14ac:dyDescent="0.25">
      <c r="A159" s="1906"/>
      <c r="B159" s="1907"/>
      <c r="C159" s="1908"/>
      <c r="D159" s="2010" t="s">
        <v>92</v>
      </c>
      <c r="E159" s="1610"/>
      <c r="F159" s="544">
        <f>P216</f>
        <v>0</v>
      </c>
      <c r="G159" s="1903" t="s">
        <v>141</v>
      </c>
      <c r="H159" s="1608"/>
      <c r="I159" s="536">
        <f>Q245</f>
        <v>0</v>
      </c>
      <c r="J159" s="529"/>
      <c r="K159" s="2018"/>
      <c r="L159" s="2019"/>
      <c r="M159" s="2019"/>
      <c r="N159" s="2019"/>
      <c r="O159" s="2019"/>
      <c r="P159" s="2019"/>
      <c r="Q159" s="2020"/>
      <c r="S159" s="533"/>
      <c r="T159" s="527"/>
      <c r="U159" s="527"/>
      <c r="V159" s="531"/>
      <c r="W159" s="102"/>
      <c r="AH159" s="532"/>
      <c r="AI159" s="532"/>
    </row>
    <row r="160" spans="1:35" ht="19.5" customHeight="1" thickBot="1" x14ac:dyDescent="0.25">
      <c r="A160" s="1906"/>
      <c r="B160" s="1907"/>
      <c r="C160" s="1908"/>
      <c r="D160" s="1903" t="s">
        <v>142</v>
      </c>
      <c r="E160" s="1608"/>
      <c r="F160" s="545">
        <f>P245</f>
        <v>0</v>
      </c>
      <c r="G160" s="2004" t="s">
        <v>93</v>
      </c>
      <c r="H160" s="2005"/>
      <c r="I160" s="543">
        <f>Q170</f>
        <v>0</v>
      </c>
      <c r="J160" s="529"/>
      <c r="K160" s="2018"/>
      <c r="L160" s="2019"/>
      <c r="M160" s="2019"/>
      <c r="N160" s="2019"/>
      <c r="O160" s="2019"/>
      <c r="P160" s="2019"/>
      <c r="Q160" s="2020"/>
      <c r="S160" s="533"/>
      <c r="T160" s="527"/>
      <c r="U160" s="527"/>
      <c r="V160" s="531"/>
      <c r="W160" s="102"/>
      <c r="AH160" s="532"/>
      <c r="AI160" s="532"/>
    </row>
    <row r="161" spans="1:35" ht="19.5" customHeight="1" x14ac:dyDescent="0.2">
      <c r="A161" s="1906"/>
      <c r="B161" s="1907"/>
      <c r="C161" s="1907"/>
      <c r="D161" s="2011" t="s">
        <v>94</v>
      </c>
      <c r="E161" s="2007"/>
      <c r="F161" s="546">
        <f>I143</f>
        <v>0</v>
      </c>
      <c r="G161" s="2006" t="s">
        <v>95</v>
      </c>
      <c r="H161" s="2007"/>
      <c r="I161" s="547">
        <f>F143</f>
        <v>0</v>
      </c>
      <c r="J161" s="529"/>
      <c r="K161" s="2018"/>
      <c r="L161" s="2019"/>
      <c r="M161" s="2019"/>
      <c r="N161" s="2019"/>
      <c r="O161" s="2019"/>
      <c r="P161" s="2019"/>
      <c r="Q161" s="2020"/>
      <c r="S161" s="533"/>
      <c r="T161" s="527"/>
      <c r="U161" s="527"/>
      <c r="V161" s="531"/>
      <c r="W161" s="102"/>
      <c r="AH161" s="532"/>
      <c r="AI161" s="532"/>
    </row>
    <row r="162" spans="1:35" ht="19.5" customHeight="1" thickBot="1" x14ac:dyDescent="0.25">
      <c r="A162" s="1909"/>
      <c r="B162" s="1910"/>
      <c r="C162" s="1910"/>
      <c r="D162" s="2012" t="s">
        <v>96</v>
      </c>
      <c r="E162" s="2009"/>
      <c r="F162" s="548">
        <f>I154</f>
        <v>0</v>
      </c>
      <c r="G162" s="2008" t="s">
        <v>97</v>
      </c>
      <c r="H162" s="2009"/>
      <c r="I162" s="549">
        <f>F154</f>
        <v>0</v>
      </c>
      <c r="J162" s="529"/>
      <c r="K162" s="2018"/>
      <c r="L162" s="2019"/>
      <c r="M162" s="2019"/>
      <c r="N162" s="2019"/>
      <c r="O162" s="2019"/>
      <c r="P162" s="2019"/>
      <c r="Q162" s="2020"/>
      <c r="S162" s="533"/>
      <c r="T162" s="527"/>
      <c r="U162" s="527"/>
      <c r="V162" s="531"/>
      <c r="W162" s="102"/>
      <c r="AH162" s="532"/>
      <c r="AI162" s="532"/>
    </row>
    <row r="163" spans="1:35" ht="19.5" customHeight="1" thickBot="1" x14ac:dyDescent="0.25">
      <c r="A163" s="529"/>
      <c r="B163" s="529"/>
      <c r="C163" s="529"/>
      <c r="D163" s="1991" t="s">
        <v>40</v>
      </c>
      <c r="E163" s="2003"/>
      <c r="F163" s="539">
        <f>SUM(F158:F162)</f>
        <v>0</v>
      </c>
      <c r="G163" s="1991" t="s">
        <v>40</v>
      </c>
      <c r="H163" s="2003"/>
      <c r="I163" s="539">
        <f>SUM(I158:I162)</f>
        <v>0</v>
      </c>
      <c r="J163" s="529"/>
      <c r="K163" s="2021"/>
      <c r="L163" s="2022"/>
      <c r="M163" s="2022"/>
      <c r="N163" s="2022"/>
      <c r="O163" s="2022"/>
      <c r="P163" s="2022"/>
      <c r="Q163" s="2023"/>
      <c r="S163" s="533"/>
      <c r="T163" s="527"/>
      <c r="U163" s="527"/>
      <c r="V163" s="531"/>
      <c r="W163" s="102"/>
      <c r="AH163" s="532"/>
      <c r="AI163" s="532"/>
    </row>
    <row r="164" spans="1:35" ht="19.5" customHeight="1" x14ac:dyDescent="0.2">
      <c r="A164" s="529"/>
      <c r="B164" s="529"/>
      <c r="C164" s="529"/>
      <c r="D164" s="1992" t="s">
        <v>178</v>
      </c>
      <c r="E164" s="1823"/>
      <c r="F164" s="529">
        <f>I163-F163</f>
        <v>0</v>
      </c>
      <c r="G164" s="529"/>
      <c r="H164" s="38"/>
      <c r="I164" s="529"/>
      <c r="J164" s="529"/>
      <c r="K164"/>
      <c r="L164"/>
      <c r="M164"/>
      <c r="N164"/>
      <c r="O164"/>
      <c r="P164"/>
      <c r="Q164"/>
      <c r="S164" s="533"/>
      <c r="T164" s="527"/>
      <c r="U164" s="527"/>
      <c r="V164" s="531"/>
      <c r="W164" s="102"/>
      <c r="AH164" s="532"/>
      <c r="AI164" s="532"/>
    </row>
    <row r="165" spans="1:35" ht="19.5" customHeight="1" x14ac:dyDescent="0.2">
      <c r="A165" s="529"/>
      <c r="B165" s="529"/>
      <c r="C165" s="529"/>
      <c r="D165" s="1894" t="s">
        <v>98</v>
      </c>
      <c r="E165" s="1523"/>
      <c r="F165" s="529">
        <f>F163-P254</f>
        <v>0</v>
      </c>
      <c r="G165" s="529"/>
      <c r="H165" s="38"/>
      <c r="I165" s="529">
        <f>I163-Q254</f>
        <v>0</v>
      </c>
      <c r="J165" s="529"/>
      <c r="K165"/>
      <c r="L165"/>
      <c r="M165"/>
      <c r="N165"/>
      <c r="O165"/>
      <c r="P165"/>
      <c r="Q165"/>
      <c r="S165" s="533"/>
      <c r="T165" s="527"/>
      <c r="U165" s="527"/>
      <c r="V165" s="531"/>
      <c r="W165" s="102"/>
      <c r="AH165" s="532"/>
      <c r="AI165" s="532"/>
    </row>
    <row r="166" spans="1:35" x14ac:dyDescent="0.2">
      <c r="A166" s="4"/>
      <c r="B166" s="4"/>
      <c r="C166" s="4"/>
      <c r="D166" s="4"/>
      <c r="E166" s="4"/>
      <c r="F166" s="4"/>
      <c r="K166"/>
      <c r="L166"/>
      <c r="M166"/>
      <c r="N166"/>
      <c r="O166"/>
      <c r="P166"/>
      <c r="Q166"/>
      <c r="S166" s="4"/>
      <c r="T166" s="4"/>
      <c r="U166" s="4"/>
      <c r="V166" s="4"/>
      <c r="W166" s="4"/>
      <c r="X166" s="4"/>
    </row>
    <row r="167" spans="1:35" ht="16.2" x14ac:dyDescent="0.2">
      <c r="A167" s="98" t="s">
        <v>407</v>
      </c>
      <c r="B167" s="527"/>
      <c r="C167" s="527"/>
      <c r="D167" s="531"/>
      <c r="E167" s="102"/>
      <c r="P167" s="532"/>
      <c r="Q167" s="532"/>
      <c r="S167" s="4"/>
      <c r="T167" s="4"/>
      <c r="U167" s="4"/>
      <c r="V167" s="4"/>
      <c r="W167" s="4"/>
      <c r="X167" s="4"/>
    </row>
    <row r="168" spans="1:35" ht="12.75" customHeight="1" x14ac:dyDescent="0.2">
      <c r="A168" s="1969" t="s">
        <v>162</v>
      </c>
      <c r="B168" s="1970"/>
      <c r="C168" s="1970"/>
      <c r="D168" s="1971"/>
      <c r="E168" s="550" t="str">
        <f>'財務諸表（入力）'!G4</f>
        <v>2021年2月1日～2022年1月31日</v>
      </c>
      <c r="F168" s="550" t="str">
        <f>'財務諸表（入力）'!J4</f>
        <v>2022年2月1日～2023年1月31日</v>
      </c>
      <c r="G168" s="1975" t="s">
        <v>29</v>
      </c>
      <c r="H168" s="1964" t="s">
        <v>61</v>
      </c>
      <c r="I168" s="1965"/>
      <c r="J168" s="1966" t="s">
        <v>406</v>
      </c>
      <c r="K168" s="1965"/>
      <c r="L168" s="2026" t="s">
        <v>62</v>
      </c>
      <c r="M168" s="2027"/>
      <c r="N168" s="2028" t="s">
        <v>63</v>
      </c>
      <c r="O168" s="2027"/>
      <c r="P168" s="2029" t="s">
        <v>64</v>
      </c>
      <c r="Q168" s="2030"/>
      <c r="S168" s="4"/>
      <c r="T168" s="4"/>
      <c r="U168" s="4"/>
      <c r="V168" s="4"/>
      <c r="W168" s="4"/>
      <c r="X168" s="4"/>
    </row>
    <row r="169" spans="1:35" ht="12.75" customHeight="1" x14ac:dyDescent="0.2">
      <c r="A169" s="1972"/>
      <c r="B169" s="1973"/>
      <c r="C169" s="1973"/>
      <c r="D169" s="1974"/>
      <c r="E169" s="552" t="str">
        <f>'財務諸表（入力）'!G5</f>
        <v>前期</v>
      </c>
      <c r="F169" s="553" t="str">
        <f>'財務諸表（入力）'!J5</f>
        <v>今期</v>
      </c>
      <c r="G169" s="1976"/>
      <c r="H169" s="554" t="s">
        <v>66</v>
      </c>
      <c r="I169" s="553" t="s">
        <v>67</v>
      </c>
      <c r="J169" s="551" t="s">
        <v>66</v>
      </c>
      <c r="K169" s="553" t="s">
        <v>67</v>
      </c>
      <c r="L169" s="555" t="s">
        <v>68</v>
      </c>
      <c r="M169" s="556" t="s">
        <v>69</v>
      </c>
      <c r="N169" s="557" t="s">
        <v>68</v>
      </c>
      <c r="O169" s="558" t="s">
        <v>69</v>
      </c>
      <c r="P169" s="559" t="s">
        <v>68</v>
      </c>
      <c r="Q169" s="560" t="s">
        <v>69</v>
      </c>
      <c r="S169" s="4"/>
      <c r="T169" s="4"/>
      <c r="U169" s="4"/>
      <c r="V169" s="4"/>
      <c r="W169" s="4"/>
      <c r="X169" s="4"/>
    </row>
    <row r="170" spans="1:35" ht="12.75" customHeight="1" x14ac:dyDescent="0.2">
      <c r="A170" s="1946" t="s">
        <v>385</v>
      </c>
      <c r="B170" s="1946" t="s">
        <v>287</v>
      </c>
      <c r="C170" s="1929" t="s">
        <v>197</v>
      </c>
      <c r="D170" s="561" t="str">
        <f>'財務諸表（入力）'!D6</f>
        <v>現金・預金</v>
      </c>
      <c r="E170" s="562">
        <f>'財務諸表（入力）'!G6</f>
        <v>0</v>
      </c>
      <c r="F170" s="563">
        <f>'財務諸表（入力）'!J6</f>
        <v>0</v>
      </c>
      <c r="G170" s="564">
        <f>F170-E170</f>
        <v>0</v>
      </c>
      <c r="H170" s="562">
        <f t="shared" ref="H170:H189" si="25">IF(G170&gt;1,SUM(G170:G170),0)</f>
        <v>0</v>
      </c>
      <c r="I170" s="563">
        <f t="shared" ref="I170:I189" si="26">IF(G170&lt;1,SUM(G170:G170)*-1,0)</f>
        <v>0</v>
      </c>
      <c r="J170" s="565"/>
      <c r="K170" s="563"/>
      <c r="L170" s="693"/>
      <c r="M170" s="694"/>
      <c r="N170" s="750" t="s">
        <v>231</v>
      </c>
      <c r="O170" s="751" t="s">
        <v>231</v>
      </c>
      <c r="P170" s="752">
        <f>H170</f>
        <v>0</v>
      </c>
      <c r="Q170" s="306">
        <f>I170</f>
        <v>0</v>
      </c>
      <c r="S170" s="4"/>
      <c r="T170" s="4"/>
      <c r="U170" s="4"/>
      <c r="V170" s="4"/>
      <c r="W170" s="4"/>
      <c r="X170" s="4"/>
    </row>
    <row r="171" spans="1:35" ht="12.75" customHeight="1" x14ac:dyDescent="0.2">
      <c r="A171" s="1946"/>
      <c r="B171" s="1946"/>
      <c r="C171" s="1929"/>
      <c r="D171" s="296" t="str">
        <f>'財務諸表（入力）'!D9</f>
        <v>売掛金</v>
      </c>
      <c r="E171" s="567">
        <f>'財務諸表（入力）'!G9</f>
        <v>0</v>
      </c>
      <c r="F171" s="568">
        <f>'財務諸表（入力）'!J9</f>
        <v>0</v>
      </c>
      <c r="G171" s="569">
        <f>F171-E171</f>
        <v>0</v>
      </c>
      <c r="H171" s="567">
        <f t="shared" si="25"/>
        <v>0</v>
      </c>
      <c r="I171" s="568">
        <f t="shared" si="26"/>
        <v>0</v>
      </c>
      <c r="J171" s="570"/>
      <c r="K171" s="568"/>
      <c r="L171" s="695"/>
      <c r="M171" s="696"/>
      <c r="N171" s="600">
        <f>H171</f>
        <v>0</v>
      </c>
      <c r="O171" s="572">
        <f>I171</f>
        <v>0</v>
      </c>
      <c r="P171" s="704"/>
      <c r="Q171" s="705"/>
    </row>
    <row r="172" spans="1:35" ht="12.75" customHeight="1" x14ac:dyDescent="0.2">
      <c r="A172" s="1946"/>
      <c r="B172" s="1946"/>
      <c r="C172" s="1929"/>
      <c r="D172" s="296" t="str">
        <f>資金運用表!D44</f>
        <v>受取手形</v>
      </c>
      <c r="E172" s="567">
        <f>'財務諸表（入力）'!G8</f>
        <v>0</v>
      </c>
      <c r="F172" s="568">
        <f>'財務諸表（入力）'!J8</f>
        <v>0</v>
      </c>
      <c r="G172" s="569">
        <f>F172-E172</f>
        <v>0</v>
      </c>
      <c r="H172" s="567">
        <f t="shared" si="25"/>
        <v>0</v>
      </c>
      <c r="I172" s="568">
        <f t="shared" si="26"/>
        <v>0</v>
      </c>
      <c r="J172" s="570">
        <f>K245</f>
        <v>0</v>
      </c>
      <c r="K172" s="568">
        <f>J245</f>
        <v>0</v>
      </c>
      <c r="L172" s="695"/>
      <c r="M172" s="697"/>
      <c r="N172" s="600">
        <f>H172+J172</f>
        <v>0</v>
      </c>
      <c r="O172" s="572">
        <f>I172+K172</f>
        <v>0</v>
      </c>
      <c r="P172" s="706"/>
      <c r="Q172" s="705"/>
    </row>
    <row r="173" spans="1:35" ht="12.75" customHeight="1" x14ac:dyDescent="0.2">
      <c r="A173" s="1946"/>
      <c r="B173" s="1946"/>
      <c r="C173" s="1958"/>
      <c r="D173" s="574">
        <f>'財務諸表（入力）'!D10</f>
        <v>0</v>
      </c>
      <c r="E173" s="575">
        <f>'財務諸表（入力）'!G10</f>
        <v>0</v>
      </c>
      <c r="F173" s="350">
        <f>'財務諸表（入力）'!J10</f>
        <v>0</v>
      </c>
      <c r="G173" s="576">
        <f>F173-E173</f>
        <v>0</v>
      </c>
      <c r="H173" s="575">
        <f t="shared" si="25"/>
        <v>0</v>
      </c>
      <c r="I173" s="350">
        <f t="shared" si="26"/>
        <v>0</v>
      </c>
      <c r="J173" s="577"/>
      <c r="K173" s="350"/>
      <c r="L173" s="698"/>
      <c r="M173" s="699"/>
      <c r="N173" s="601">
        <f>H173</f>
        <v>0</v>
      </c>
      <c r="O173" s="579">
        <f>I173</f>
        <v>0</v>
      </c>
      <c r="P173" s="707"/>
      <c r="Q173" s="708"/>
      <c r="X173" s="103"/>
    </row>
    <row r="174" spans="1:35" ht="12.75" customHeight="1" x14ac:dyDescent="0.2">
      <c r="A174" s="1946"/>
      <c r="B174" s="1946"/>
      <c r="C174" s="1890" t="s">
        <v>382</v>
      </c>
      <c r="D174" s="1891"/>
      <c r="E174" s="580">
        <f>SUM(E170:E173)</f>
        <v>0</v>
      </c>
      <c r="F174" s="581">
        <f>SUM(F170:F173)</f>
        <v>0</v>
      </c>
      <c r="G174" s="582">
        <f>SUM(G170:G173)</f>
        <v>0</v>
      </c>
      <c r="H174" s="580">
        <f>SUM(H170:H173)</f>
        <v>0</v>
      </c>
      <c r="I174" s="581">
        <f>SUM(I170:I173)</f>
        <v>0</v>
      </c>
      <c r="J174" s="583"/>
      <c r="K174" s="338"/>
      <c r="L174" s="700"/>
      <c r="M174" s="701"/>
      <c r="N174" s="753" t="s">
        <v>231</v>
      </c>
      <c r="O174" s="754" t="s">
        <v>231</v>
      </c>
      <c r="P174" s="709"/>
      <c r="Q174" s="710"/>
    </row>
    <row r="175" spans="1:35" ht="12.75" customHeight="1" x14ac:dyDescent="0.2">
      <c r="A175" s="1946"/>
      <c r="B175" s="1946"/>
      <c r="C175" s="1887" t="s">
        <v>161</v>
      </c>
      <c r="D175" s="288" t="str">
        <f>'財務諸表（入力）'!D12</f>
        <v>製品・商品</v>
      </c>
      <c r="E175" s="586">
        <f>'財務諸表（入力）'!G12</f>
        <v>0</v>
      </c>
      <c r="F175" s="587">
        <f>'財務諸表（入力）'!J12</f>
        <v>0</v>
      </c>
      <c r="G175" s="588">
        <f>F175-E175</f>
        <v>0</v>
      </c>
      <c r="H175" s="586">
        <f t="shared" si="25"/>
        <v>0</v>
      </c>
      <c r="I175" s="587">
        <f t="shared" si="26"/>
        <v>0</v>
      </c>
      <c r="J175" s="589"/>
      <c r="K175" s="587"/>
      <c r="L175" s="702"/>
      <c r="M175" s="703"/>
      <c r="N175" s="755" t="s">
        <v>231</v>
      </c>
      <c r="O175" s="756" t="s">
        <v>231</v>
      </c>
      <c r="P175" s="711"/>
      <c r="Q175" s="712"/>
    </row>
    <row r="176" spans="1:35" ht="12.75" customHeight="1" x14ac:dyDescent="0.2">
      <c r="A176" s="1946"/>
      <c r="B176" s="1946"/>
      <c r="C176" s="1888"/>
      <c r="D176" s="592" t="str">
        <f>'財務諸表（入力）'!D13</f>
        <v>原材料</v>
      </c>
      <c r="E176" s="567">
        <f>'財務諸表（入力）'!G13</f>
        <v>0</v>
      </c>
      <c r="F176" s="568">
        <f>'財務諸表（入力）'!J13</f>
        <v>0</v>
      </c>
      <c r="G176" s="569">
        <f>F176-E176</f>
        <v>0</v>
      </c>
      <c r="H176" s="567">
        <f t="shared" si="25"/>
        <v>0</v>
      </c>
      <c r="I176" s="568">
        <f t="shared" si="26"/>
        <v>0</v>
      </c>
      <c r="J176" s="570"/>
      <c r="K176" s="568"/>
      <c r="L176" s="695"/>
      <c r="M176" s="696"/>
      <c r="N176" s="757" t="s">
        <v>231</v>
      </c>
      <c r="O176" s="758" t="s">
        <v>231</v>
      </c>
      <c r="P176" s="706"/>
      <c r="Q176" s="705"/>
    </row>
    <row r="177" spans="1:17" ht="12.75" customHeight="1" x14ac:dyDescent="0.2">
      <c r="A177" s="1946"/>
      <c r="B177" s="1946"/>
      <c r="C177" s="1888"/>
      <c r="D177" s="592" t="str">
        <f>'財務諸表（入力）'!D14</f>
        <v>仕掛品</v>
      </c>
      <c r="E177" s="567">
        <f>'財務諸表（入力）'!G14</f>
        <v>0</v>
      </c>
      <c r="F177" s="568">
        <f>'財務諸表（入力）'!J14</f>
        <v>0</v>
      </c>
      <c r="G177" s="569">
        <f>F177-E177</f>
        <v>0</v>
      </c>
      <c r="H177" s="567">
        <f t="shared" si="25"/>
        <v>0</v>
      </c>
      <c r="I177" s="568">
        <f t="shared" si="26"/>
        <v>0</v>
      </c>
      <c r="J177" s="570"/>
      <c r="K177" s="568"/>
      <c r="L177" s="695"/>
      <c r="M177" s="696"/>
      <c r="N177" s="757" t="s">
        <v>231</v>
      </c>
      <c r="O177" s="758" t="s">
        <v>231</v>
      </c>
      <c r="P177" s="706"/>
      <c r="Q177" s="713"/>
    </row>
    <row r="178" spans="1:17" ht="12.75" customHeight="1" x14ac:dyDescent="0.2">
      <c r="A178" s="1946"/>
      <c r="B178" s="1946"/>
      <c r="C178" s="1889"/>
      <c r="D178" s="592" t="str">
        <f>'財務諸表（入力）'!D15</f>
        <v xml:space="preserve"> </v>
      </c>
      <c r="E178" s="567">
        <f>'財務諸表（入力）'!G15</f>
        <v>0</v>
      </c>
      <c r="F178" s="568">
        <f>'財務諸表（入力）'!J15</f>
        <v>0</v>
      </c>
      <c r="G178" s="569">
        <f>F178-E178</f>
        <v>0</v>
      </c>
      <c r="H178" s="567">
        <f t="shared" si="25"/>
        <v>0</v>
      </c>
      <c r="I178" s="568">
        <f t="shared" si="26"/>
        <v>0</v>
      </c>
      <c r="J178" s="570"/>
      <c r="K178" s="568"/>
      <c r="L178" s="695"/>
      <c r="M178" s="696"/>
      <c r="N178" s="757" t="s">
        <v>231</v>
      </c>
      <c r="O178" s="758" t="s">
        <v>231</v>
      </c>
      <c r="P178" s="704"/>
      <c r="Q178" s="705"/>
    </row>
    <row r="179" spans="1:17" ht="12.75" customHeight="1" x14ac:dyDescent="0.2">
      <c r="A179" s="1946"/>
      <c r="B179" s="1946"/>
      <c r="C179" s="1890" t="s">
        <v>204</v>
      </c>
      <c r="D179" s="1891"/>
      <c r="E179" s="580">
        <f>SUM(E175:E178)</f>
        <v>0</v>
      </c>
      <c r="F179" s="581">
        <f>SUM(F175:F178)</f>
        <v>0</v>
      </c>
      <c r="G179" s="582">
        <f>SUM(G175:G178)</f>
        <v>0</v>
      </c>
      <c r="H179" s="580">
        <f>SUM(H175:H178)</f>
        <v>0</v>
      </c>
      <c r="I179" s="581">
        <f>SUM(I175:I178)</f>
        <v>0</v>
      </c>
      <c r="J179" s="583"/>
      <c r="K179" s="338"/>
      <c r="L179" s="700"/>
      <c r="M179" s="701"/>
      <c r="N179" s="603">
        <f>IF(H179-I179&gt;0,H179-I179,0)</f>
        <v>0</v>
      </c>
      <c r="O179" s="585">
        <f>IF(H179-I179&lt;0,I179-H179,0)</f>
        <v>0</v>
      </c>
      <c r="P179" s="714"/>
      <c r="Q179" s="715"/>
    </row>
    <row r="180" spans="1:17" ht="12.75" customHeight="1" x14ac:dyDescent="0.2">
      <c r="A180" s="1946"/>
      <c r="B180" s="1946"/>
      <c r="C180" s="1887" t="s">
        <v>199</v>
      </c>
      <c r="D180" s="288">
        <f>'財務諸表（入力）'!D17</f>
        <v>0</v>
      </c>
      <c r="E180" s="586">
        <f>'財務諸表（入力）'!G17</f>
        <v>0</v>
      </c>
      <c r="F180" s="587">
        <f>'財務諸表（入力）'!J17</f>
        <v>0</v>
      </c>
      <c r="G180" s="588">
        <f t="shared" ref="G180:G189" si="27">F180-E180</f>
        <v>0</v>
      </c>
      <c r="H180" s="586">
        <f t="shared" si="25"/>
        <v>0</v>
      </c>
      <c r="I180" s="587">
        <f t="shared" si="26"/>
        <v>0</v>
      </c>
      <c r="J180" s="589"/>
      <c r="K180" s="587"/>
      <c r="L180" s="702"/>
      <c r="M180" s="703"/>
      <c r="N180" s="607">
        <f t="shared" ref="N180:N189" si="28">H180</f>
        <v>0</v>
      </c>
      <c r="O180" s="591">
        <f t="shared" ref="O180:O189" si="29">I180</f>
        <v>0</v>
      </c>
      <c r="P180" s="711"/>
      <c r="Q180" s="716"/>
    </row>
    <row r="181" spans="1:17" ht="12.75" customHeight="1" x14ac:dyDescent="0.2">
      <c r="A181" s="1946"/>
      <c r="B181" s="1946"/>
      <c r="C181" s="1888"/>
      <c r="D181" s="593">
        <f>'財務諸表（入力）'!D22</f>
        <v>0</v>
      </c>
      <c r="E181" s="567">
        <f>'財務諸表（入力）'!G22</f>
        <v>0</v>
      </c>
      <c r="F181" s="568">
        <f>'財務諸表（入力）'!J22</f>
        <v>0</v>
      </c>
      <c r="G181" s="569">
        <f t="shared" si="27"/>
        <v>0</v>
      </c>
      <c r="H181" s="567">
        <f t="shared" si="25"/>
        <v>0</v>
      </c>
      <c r="I181" s="568">
        <f t="shared" si="26"/>
        <v>0</v>
      </c>
      <c r="J181" s="570"/>
      <c r="K181" s="568"/>
      <c r="L181" s="695"/>
      <c r="M181" s="696"/>
      <c r="N181" s="600">
        <f t="shared" si="28"/>
        <v>0</v>
      </c>
      <c r="O181" s="572">
        <f t="shared" si="29"/>
        <v>0</v>
      </c>
      <c r="P181" s="706"/>
      <c r="Q181" s="705"/>
    </row>
    <row r="182" spans="1:17" ht="12.75" customHeight="1" x14ac:dyDescent="0.2">
      <c r="A182" s="1946"/>
      <c r="B182" s="1946"/>
      <c r="C182" s="1888"/>
      <c r="D182" s="592">
        <f>'財務諸表（入力）'!D18</f>
        <v>0</v>
      </c>
      <c r="E182" s="567">
        <f>'財務諸表（入力）'!G18</f>
        <v>0</v>
      </c>
      <c r="F182" s="568">
        <f>'財務諸表（入力）'!J18</f>
        <v>0</v>
      </c>
      <c r="G182" s="569">
        <f t="shared" si="27"/>
        <v>0</v>
      </c>
      <c r="H182" s="567">
        <f t="shared" si="25"/>
        <v>0</v>
      </c>
      <c r="I182" s="568">
        <f t="shared" si="26"/>
        <v>0</v>
      </c>
      <c r="J182" s="570"/>
      <c r="K182" s="568"/>
      <c r="L182" s="695"/>
      <c r="M182" s="696"/>
      <c r="N182" s="600">
        <f t="shared" si="28"/>
        <v>0</v>
      </c>
      <c r="O182" s="572">
        <f t="shared" si="29"/>
        <v>0</v>
      </c>
      <c r="P182" s="706"/>
      <c r="Q182" s="713"/>
    </row>
    <row r="183" spans="1:17" ht="12.75" customHeight="1" x14ac:dyDescent="0.2">
      <c r="A183" s="1946"/>
      <c r="B183" s="1946"/>
      <c r="C183" s="1888"/>
      <c r="D183" s="592">
        <f>'財務諸表（入力）'!D23</f>
        <v>0</v>
      </c>
      <c r="E183" s="567">
        <f>'財務諸表（入力）'!G23</f>
        <v>0</v>
      </c>
      <c r="F183" s="568">
        <f>'財務諸表（入力）'!J23</f>
        <v>0</v>
      </c>
      <c r="G183" s="569">
        <f t="shared" si="27"/>
        <v>0</v>
      </c>
      <c r="H183" s="567">
        <f t="shared" si="25"/>
        <v>0</v>
      </c>
      <c r="I183" s="568">
        <f t="shared" si="26"/>
        <v>0</v>
      </c>
      <c r="J183" s="570"/>
      <c r="K183" s="568"/>
      <c r="L183" s="695"/>
      <c r="M183" s="696"/>
      <c r="N183" s="600">
        <f t="shared" si="28"/>
        <v>0</v>
      </c>
      <c r="O183" s="572">
        <f t="shared" si="29"/>
        <v>0</v>
      </c>
      <c r="P183" s="706"/>
      <c r="Q183" s="713"/>
    </row>
    <row r="184" spans="1:17" ht="12.75" customHeight="1" x14ac:dyDescent="0.2">
      <c r="A184" s="1946"/>
      <c r="B184" s="1946"/>
      <c r="C184" s="1888"/>
      <c r="D184" s="592">
        <f>'財務諸表（入力）'!D19</f>
        <v>0</v>
      </c>
      <c r="E184" s="567">
        <f>'財務諸表（入力）'!G19</f>
        <v>0</v>
      </c>
      <c r="F184" s="568">
        <f>'財務諸表（入力）'!J19</f>
        <v>0</v>
      </c>
      <c r="G184" s="569">
        <f t="shared" si="27"/>
        <v>0</v>
      </c>
      <c r="H184" s="567">
        <f t="shared" si="25"/>
        <v>0</v>
      </c>
      <c r="I184" s="568">
        <f t="shared" si="26"/>
        <v>0</v>
      </c>
      <c r="J184" s="570"/>
      <c r="K184" s="568"/>
      <c r="L184" s="695"/>
      <c r="M184" s="696"/>
      <c r="N184" s="600">
        <f t="shared" si="28"/>
        <v>0</v>
      </c>
      <c r="O184" s="572">
        <f t="shared" si="29"/>
        <v>0</v>
      </c>
      <c r="P184" s="706"/>
      <c r="Q184" s="713"/>
    </row>
    <row r="185" spans="1:17" ht="12.75" customHeight="1" x14ac:dyDescent="0.2">
      <c r="A185" s="1946"/>
      <c r="B185" s="1946"/>
      <c r="C185" s="1888"/>
      <c r="D185" s="592" t="str">
        <f>'財務諸表（入力）'!D25</f>
        <v>貸倒引当金（▲）</v>
      </c>
      <c r="E185" s="567">
        <f>'財務諸表（入力）'!G25</f>
        <v>0</v>
      </c>
      <c r="F185" s="568">
        <f>'財務諸表（入力）'!J25</f>
        <v>0</v>
      </c>
      <c r="G185" s="569">
        <f t="shared" si="27"/>
        <v>0</v>
      </c>
      <c r="H185" s="567">
        <f t="shared" si="25"/>
        <v>0</v>
      </c>
      <c r="I185" s="568">
        <f t="shared" si="26"/>
        <v>0</v>
      </c>
      <c r="J185" s="570"/>
      <c r="K185" s="568"/>
      <c r="L185" s="695"/>
      <c r="M185" s="696"/>
      <c r="N185" s="600">
        <f t="shared" si="28"/>
        <v>0</v>
      </c>
      <c r="O185" s="572">
        <f t="shared" si="29"/>
        <v>0</v>
      </c>
      <c r="P185" s="706"/>
      <c r="Q185" s="705"/>
    </row>
    <row r="186" spans="1:17" ht="12.75" customHeight="1" x14ac:dyDescent="0.2">
      <c r="A186" s="1946"/>
      <c r="B186" s="1946"/>
      <c r="C186" s="1888"/>
      <c r="D186" s="592">
        <f>'財務諸表（入力）'!D24</f>
        <v>0</v>
      </c>
      <c r="E186" s="567">
        <f>'財務諸表（入力）'!G24</f>
        <v>0</v>
      </c>
      <c r="F186" s="568">
        <f>'財務諸表（入力）'!J24</f>
        <v>0</v>
      </c>
      <c r="G186" s="569">
        <f t="shared" si="27"/>
        <v>0</v>
      </c>
      <c r="H186" s="567">
        <f t="shared" si="25"/>
        <v>0</v>
      </c>
      <c r="I186" s="568">
        <f t="shared" si="26"/>
        <v>0</v>
      </c>
      <c r="J186" s="570"/>
      <c r="K186" s="568"/>
      <c r="L186" s="695"/>
      <c r="M186" s="696"/>
      <c r="N186" s="600">
        <f t="shared" si="28"/>
        <v>0</v>
      </c>
      <c r="O186" s="572">
        <f t="shared" si="29"/>
        <v>0</v>
      </c>
      <c r="P186" s="706"/>
      <c r="Q186" s="705"/>
    </row>
    <row r="187" spans="1:17" ht="12.75" customHeight="1" x14ac:dyDescent="0.2">
      <c r="A187" s="1946"/>
      <c r="B187" s="1946"/>
      <c r="C187" s="1888"/>
      <c r="D187" s="593">
        <f>'財務諸表（入力）'!D20</f>
        <v>0</v>
      </c>
      <c r="E187" s="567">
        <f>'財務諸表（入力）'!G20</f>
        <v>0</v>
      </c>
      <c r="F187" s="568">
        <f>'財務諸表（入力）'!J20</f>
        <v>0</v>
      </c>
      <c r="G187" s="569">
        <f t="shared" si="27"/>
        <v>0</v>
      </c>
      <c r="H187" s="567">
        <f t="shared" si="25"/>
        <v>0</v>
      </c>
      <c r="I187" s="568">
        <f t="shared" si="26"/>
        <v>0</v>
      </c>
      <c r="J187" s="570"/>
      <c r="K187" s="568"/>
      <c r="L187" s="695"/>
      <c r="M187" s="696"/>
      <c r="N187" s="600">
        <f t="shared" si="28"/>
        <v>0</v>
      </c>
      <c r="O187" s="572">
        <f t="shared" si="29"/>
        <v>0</v>
      </c>
      <c r="P187" s="706"/>
      <c r="Q187" s="705"/>
    </row>
    <row r="188" spans="1:17" ht="12.75" customHeight="1" x14ac:dyDescent="0.2">
      <c r="A188" s="1946"/>
      <c r="B188" s="1946"/>
      <c r="C188" s="1888"/>
      <c r="D188" s="593">
        <f>'財務諸表（入力）'!D21</f>
        <v>0</v>
      </c>
      <c r="E188" s="567">
        <f>'財務諸表（入力）'!G21</f>
        <v>0</v>
      </c>
      <c r="F188" s="568">
        <f>'財務諸表（入力）'!J21</f>
        <v>0</v>
      </c>
      <c r="G188" s="569">
        <f t="shared" si="27"/>
        <v>0</v>
      </c>
      <c r="H188" s="567">
        <f t="shared" si="25"/>
        <v>0</v>
      </c>
      <c r="I188" s="568">
        <f t="shared" si="26"/>
        <v>0</v>
      </c>
      <c r="J188" s="570"/>
      <c r="K188" s="568"/>
      <c r="L188" s="695"/>
      <c r="M188" s="696"/>
      <c r="N188" s="600">
        <f t="shared" si="28"/>
        <v>0</v>
      </c>
      <c r="O188" s="572">
        <f t="shared" si="29"/>
        <v>0</v>
      </c>
      <c r="P188" s="706"/>
      <c r="Q188" s="705"/>
    </row>
    <row r="189" spans="1:17" ht="12.75" customHeight="1" x14ac:dyDescent="0.2">
      <c r="A189" s="1946"/>
      <c r="B189" s="1946"/>
      <c r="C189" s="1889"/>
      <c r="D189" s="594">
        <f>'財務諸表（入力）'!D26</f>
        <v>0</v>
      </c>
      <c r="E189" s="575">
        <f>'財務諸表（入力）'!G26</f>
        <v>0</v>
      </c>
      <c r="F189" s="350">
        <f>'財務諸表（入力）'!J26</f>
        <v>0</v>
      </c>
      <c r="G189" s="576">
        <f t="shared" si="27"/>
        <v>0</v>
      </c>
      <c r="H189" s="575">
        <f t="shared" si="25"/>
        <v>0</v>
      </c>
      <c r="I189" s="350">
        <f t="shared" si="26"/>
        <v>0</v>
      </c>
      <c r="J189" s="577"/>
      <c r="K189" s="350"/>
      <c r="L189" s="698"/>
      <c r="M189" s="699"/>
      <c r="N189" s="601">
        <f t="shared" si="28"/>
        <v>0</v>
      </c>
      <c r="O189" s="579">
        <f t="shared" si="29"/>
        <v>0</v>
      </c>
      <c r="P189" s="707"/>
      <c r="Q189" s="717"/>
    </row>
    <row r="190" spans="1:17" ht="12.75" customHeight="1" x14ac:dyDescent="0.2">
      <c r="A190" s="1946"/>
      <c r="B190" s="1947"/>
      <c r="C190" s="1895" t="s">
        <v>383</v>
      </c>
      <c r="D190" s="1896"/>
      <c r="E190" s="580">
        <f>SUM(E180:E187)</f>
        <v>0</v>
      </c>
      <c r="F190" s="581">
        <f>SUM(F180:F187)</f>
        <v>0</v>
      </c>
      <c r="G190" s="582">
        <f t="shared" ref="G190:G214" si="30">F190-E190</f>
        <v>0</v>
      </c>
      <c r="H190" s="580">
        <f>SUM(H180:H189)</f>
        <v>0</v>
      </c>
      <c r="I190" s="581">
        <f>SUM(I180:I189)</f>
        <v>0</v>
      </c>
      <c r="J190" s="583"/>
      <c r="K190" s="338"/>
      <c r="L190" s="700"/>
      <c r="M190" s="701"/>
      <c r="N190" s="753" t="s">
        <v>231</v>
      </c>
      <c r="O190" s="754" t="s">
        <v>231</v>
      </c>
      <c r="P190" s="709"/>
      <c r="Q190" s="710"/>
    </row>
    <row r="191" spans="1:17" ht="12.75" customHeight="1" x14ac:dyDescent="0.2">
      <c r="A191" s="1946"/>
      <c r="B191" s="1890" t="s">
        <v>384</v>
      </c>
      <c r="C191" s="1962"/>
      <c r="D191" s="1891"/>
      <c r="E191" s="580">
        <f>E174+E179+E190</f>
        <v>0</v>
      </c>
      <c r="F191" s="581">
        <f>F174+F179+F190</f>
        <v>0</v>
      </c>
      <c r="G191" s="582">
        <f t="shared" si="30"/>
        <v>0</v>
      </c>
      <c r="H191" s="595">
        <f>SUM(H174+H179+H190)</f>
        <v>0</v>
      </c>
      <c r="I191" s="596">
        <f>SUM(I174+I179+I190)</f>
        <v>0</v>
      </c>
      <c r="J191" s="583"/>
      <c r="K191" s="338"/>
      <c r="L191" s="700"/>
      <c r="M191" s="701"/>
      <c r="N191" s="753" t="s">
        <v>231</v>
      </c>
      <c r="O191" s="754" t="s">
        <v>231</v>
      </c>
      <c r="P191" s="709"/>
      <c r="Q191" s="710"/>
    </row>
    <row r="192" spans="1:17" ht="12.75" customHeight="1" x14ac:dyDescent="0.2">
      <c r="A192" s="1946"/>
      <c r="B192" s="1963" t="s">
        <v>390</v>
      </c>
      <c r="C192" s="1887" t="s">
        <v>160</v>
      </c>
      <c r="D192" s="597" t="str">
        <f>'財務諸表（入力）'!D29</f>
        <v>建物付属設備</v>
      </c>
      <c r="E192" s="562">
        <f>'財務諸表（入力）'!G29</f>
        <v>0</v>
      </c>
      <c r="F192" s="563">
        <f>'財務諸表（入力）'!J29</f>
        <v>0</v>
      </c>
      <c r="G192" s="564">
        <f t="shared" si="30"/>
        <v>0</v>
      </c>
      <c r="H192" s="562">
        <f t="shared" ref="H192:H209" si="31">IF(G192&gt;1,SUM(G192:G192),0)</f>
        <v>0</v>
      </c>
      <c r="I192" s="563">
        <f t="shared" ref="I192:I211" si="32">IF(G192&lt;1,SUM(G192:G192)*-1,0)</f>
        <v>0</v>
      </c>
      <c r="J192" s="565"/>
      <c r="K192" s="563"/>
      <c r="L192" s="759" t="s">
        <v>234</v>
      </c>
      <c r="M192" s="760" t="s">
        <v>234</v>
      </c>
      <c r="N192" s="718"/>
      <c r="O192" s="694"/>
      <c r="P192" s="725"/>
      <c r="Q192" s="726"/>
    </row>
    <row r="193" spans="1:17" ht="12.75" customHeight="1" x14ac:dyDescent="0.2">
      <c r="A193" s="1946"/>
      <c r="B193" s="1946"/>
      <c r="C193" s="1888"/>
      <c r="D193" s="592" t="str">
        <f>'財務諸表（入力）'!D30</f>
        <v>構築物</v>
      </c>
      <c r="E193" s="599">
        <f>'財務諸表（入力）'!G30</f>
        <v>0</v>
      </c>
      <c r="F193" s="568">
        <f>'財務諸表（入力）'!J30</f>
        <v>0</v>
      </c>
      <c r="G193" s="569">
        <f t="shared" si="30"/>
        <v>0</v>
      </c>
      <c r="H193" s="567">
        <f t="shared" si="31"/>
        <v>0</v>
      </c>
      <c r="I193" s="568">
        <f t="shared" si="32"/>
        <v>0</v>
      </c>
      <c r="J193" s="570"/>
      <c r="K193" s="568"/>
      <c r="L193" s="761" t="s">
        <v>234</v>
      </c>
      <c r="M193" s="762" t="s">
        <v>234</v>
      </c>
      <c r="N193" s="719"/>
      <c r="O193" s="696"/>
      <c r="P193" s="704"/>
      <c r="Q193" s="705"/>
    </row>
    <row r="194" spans="1:17" ht="12.75" customHeight="1" x14ac:dyDescent="0.2">
      <c r="A194" s="1946"/>
      <c r="B194" s="1946"/>
      <c r="C194" s="1888"/>
      <c r="D194" s="593" t="str">
        <f>'財務諸表（入力）'!D31</f>
        <v>機械装置</v>
      </c>
      <c r="E194" s="567">
        <f>'財務諸表（入力）'!G31</f>
        <v>0</v>
      </c>
      <c r="F194" s="568">
        <f>'財務諸表（入力）'!J31</f>
        <v>0</v>
      </c>
      <c r="G194" s="569">
        <f t="shared" si="30"/>
        <v>0</v>
      </c>
      <c r="H194" s="567">
        <f t="shared" si="31"/>
        <v>0</v>
      </c>
      <c r="I194" s="568">
        <f t="shared" si="32"/>
        <v>0</v>
      </c>
      <c r="J194" s="570"/>
      <c r="K194" s="568"/>
      <c r="L194" s="761" t="s">
        <v>234</v>
      </c>
      <c r="M194" s="762" t="s">
        <v>234</v>
      </c>
      <c r="N194" s="719"/>
      <c r="O194" s="696"/>
      <c r="P194" s="704"/>
      <c r="Q194" s="705"/>
    </row>
    <row r="195" spans="1:17" ht="12.75" customHeight="1" x14ac:dyDescent="0.2">
      <c r="A195" s="1946"/>
      <c r="B195" s="1946"/>
      <c r="C195" s="1888"/>
      <c r="D195" s="592" t="str">
        <f>'財務諸表（入力）'!D32</f>
        <v>車両運搬具</v>
      </c>
      <c r="E195" s="567">
        <f>'財務諸表（入力）'!G32</f>
        <v>0</v>
      </c>
      <c r="F195" s="568">
        <f>'財務諸表（入力）'!J32</f>
        <v>0</v>
      </c>
      <c r="G195" s="569">
        <f t="shared" si="30"/>
        <v>0</v>
      </c>
      <c r="H195" s="567">
        <f t="shared" si="31"/>
        <v>0</v>
      </c>
      <c r="I195" s="568">
        <f t="shared" si="32"/>
        <v>0</v>
      </c>
      <c r="J195" s="570"/>
      <c r="K195" s="568"/>
      <c r="L195" s="761" t="s">
        <v>234</v>
      </c>
      <c r="M195" s="762" t="s">
        <v>234</v>
      </c>
      <c r="N195" s="719"/>
      <c r="O195" s="696"/>
      <c r="P195" s="704"/>
      <c r="Q195" s="705"/>
    </row>
    <row r="196" spans="1:17" ht="12.75" customHeight="1" x14ac:dyDescent="0.2">
      <c r="A196" s="1946"/>
      <c r="B196" s="1946"/>
      <c r="C196" s="1888"/>
      <c r="D196" s="592" t="str">
        <f>'財務諸表（入力）'!D33</f>
        <v>什器・備品</v>
      </c>
      <c r="E196" s="567">
        <f>'財務諸表（入力）'!G33</f>
        <v>0</v>
      </c>
      <c r="F196" s="568">
        <f>'財務諸表（入力）'!J33</f>
        <v>0</v>
      </c>
      <c r="G196" s="569">
        <f t="shared" si="30"/>
        <v>0</v>
      </c>
      <c r="H196" s="567">
        <f t="shared" si="31"/>
        <v>0</v>
      </c>
      <c r="I196" s="568">
        <f t="shared" si="32"/>
        <v>0</v>
      </c>
      <c r="J196" s="570"/>
      <c r="K196" s="568"/>
      <c r="L196" s="761" t="s">
        <v>234</v>
      </c>
      <c r="M196" s="762" t="s">
        <v>234</v>
      </c>
      <c r="N196" s="719"/>
      <c r="O196" s="696"/>
      <c r="P196" s="704"/>
      <c r="Q196" s="705"/>
    </row>
    <row r="197" spans="1:17" ht="12.75" customHeight="1" x14ac:dyDescent="0.2">
      <c r="A197" s="1946"/>
      <c r="B197" s="1946"/>
      <c r="C197" s="1888"/>
      <c r="D197" s="593" t="str">
        <f>'財務諸表（入力）'!D34</f>
        <v>土地</v>
      </c>
      <c r="E197" s="567">
        <f>'財務諸表（入力）'!G34</f>
        <v>0</v>
      </c>
      <c r="F197" s="568">
        <f>'財務諸表（入力）'!J34</f>
        <v>0</v>
      </c>
      <c r="G197" s="569">
        <f t="shared" si="30"/>
        <v>0</v>
      </c>
      <c r="H197" s="567">
        <f t="shared" si="31"/>
        <v>0</v>
      </c>
      <c r="I197" s="568">
        <f t="shared" si="32"/>
        <v>0</v>
      </c>
      <c r="J197" s="570"/>
      <c r="K197" s="568"/>
      <c r="L197" s="761" t="s">
        <v>234</v>
      </c>
      <c r="M197" s="762" t="s">
        <v>234</v>
      </c>
      <c r="N197" s="719"/>
      <c r="O197" s="696"/>
      <c r="P197" s="706"/>
      <c r="Q197" s="705"/>
    </row>
    <row r="198" spans="1:17" ht="12.75" customHeight="1" x14ac:dyDescent="0.2">
      <c r="A198" s="1946"/>
      <c r="B198" s="1946"/>
      <c r="C198" s="1888"/>
      <c r="D198" s="593" t="str">
        <f>'財務諸表（入力）'!D35</f>
        <v>建設仮勘定</v>
      </c>
      <c r="E198" s="567">
        <f>'財務諸表（入力）'!G35</f>
        <v>0</v>
      </c>
      <c r="F198" s="568">
        <f>'財務諸表（入力）'!J35</f>
        <v>0</v>
      </c>
      <c r="G198" s="569">
        <f t="shared" si="30"/>
        <v>0</v>
      </c>
      <c r="H198" s="567">
        <f t="shared" si="31"/>
        <v>0</v>
      </c>
      <c r="I198" s="568">
        <f t="shared" si="32"/>
        <v>0</v>
      </c>
      <c r="J198" s="570"/>
      <c r="K198" s="568"/>
      <c r="L198" s="761" t="s">
        <v>234</v>
      </c>
      <c r="M198" s="762" t="s">
        <v>234</v>
      </c>
      <c r="N198" s="719"/>
      <c r="O198" s="696"/>
      <c r="P198" s="706"/>
      <c r="Q198" s="705"/>
    </row>
    <row r="199" spans="1:17" ht="12.75" customHeight="1" x14ac:dyDescent="0.2">
      <c r="A199" s="1946"/>
      <c r="B199" s="1946"/>
      <c r="C199" s="1889"/>
      <c r="D199" s="310" t="str">
        <f>'財務諸表（入力）'!D36</f>
        <v>リース資産</v>
      </c>
      <c r="E199" s="575">
        <f>'財務諸表（入力）'!G36</f>
        <v>0</v>
      </c>
      <c r="F199" s="350">
        <f>'財務諸表（入力）'!J36</f>
        <v>0</v>
      </c>
      <c r="G199" s="576">
        <f t="shared" si="30"/>
        <v>0</v>
      </c>
      <c r="H199" s="575">
        <f t="shared" si="31"/>
        <v>0</v>
      </c>
      <c r="I199" s="350">
        <f t="shared" si="32"/>
        <v>0</v>
      </c>
      <c r="J199" s="577"/>
      <c r="K199" s="350"/>
      <c r="L199" s="763" t="s">
        <v>234</v>
      </c>
      <c r="M199" s="764" t="s">
        <v>234</v>
      </c>
      <c r="N199" s="720"/>
      <c r="O199" s="699"/>
      <c r="P199" s="707"/>
      <c r="Q199" s="708"/>
    </row>
    <row r="200" spans="1:17" ht="12.75" customHeight="1" x14ac:dyDescent="0.2">
      <c r="A200" s="1946"/>
      <c r="B200" s="1946"/>
      <c r="C200" s="1890" t="s">
        <v>386</v>
      </c>
      <c r="D200" s="1891"/>
      <c r="E200" s="580">
        <f>SUM(E192:E199)</f>
        <v>0</v>
      </c>
      <c r="F200" s="581">
        <f>SUM(F192:F199)</f>
        <v>0</v>
      </c>
      <c r="G200" s="602">
        <f t="shared" si="30"/>
        <v>0</v>
      </c>
      <c r="H200" s="580">
        <f>SUM(H192:H199)</f>
        <v>0</v>
      </c>
      <c r="I200" s="581">
        <f>SUM(I192:I199)</f>
        <v>0</v>
      </c>
      <c r="J200" s="583">
        <f>K244</f>
        <v>0</v>
      </c>
      <c r="K200" s="338"/>
      <c r="L200" s="765">
        <f>IF(H200+J200-I200&gt;0,H200+J200-I200,0)</f>
        <v>0</v>
      </c>
      <c r="M200" s="585">
        <f>IF(H200+J200-I200&lt;0,I200-H200-J200,0)</f>
        <v>0</v>
      </c>
      <c r="N200" s="721"/>
      <c r="O200" s="701"/>
      <c r="P200" s="709"/>
      <c r="Q200" s="710"/>
    </row>
    <row r="201" spans="1:17" ht="12.75" customHeight="1" x14ac:dyDescent="0.2">
      <c r="A201" s="1946"/>
      <c r="B201" s="1946"/>
      <c r="C201" s="1890" t="str">
        <f>'財務諸表（入力）'!C38</f>
        <v>無形固定資産</v>
      </c>
      <c r="D201" s="1891"/>
      <c r="E201" s="580">
        <f>'財務諸表（入力）'!G38</f>
        <v>0</v>
      </c>
      <c r="F201" s="581">
        <f>'財務諸表（入力）'!J38</f>
        <v>0</v>
      </c>
      <c r="G201" s="582">
        <f t="shared" si="30"/>
        <v>0</v>
      </c>
      <c r="H201" s="604">
        <f t="shared" si="31"/>
        <v>0</v>
      </c>
      <c r="I201" s="605">
        <f t="shared" si="32"/>
        <v>0</v>
      </c>
      <c r="J201" s="606"/>
      <c r="K201" s="338"/>
      <c r="L201" s="766">
        <f>H201</f>
        <v>0</v>
      </c>
      <c r="M201" s="767">
        <f>I201</f>
        <v>0</v>
      </c>
      <c r="N201" s="721"/>
      <c r="O201" s="701"/>
      <c r="P201" s="709"/>
      <c r="Q201" s="710"/>
    </row>
    <row r="202" spans="1:17" ht="12.75" customHeight="1" x14ac:dyDescent="0.2">
      <c r="A202" s="1946"/>
      <c r="B202" s="1946"/>
      <c r="C202" s="1887" t="s">
        <v>256</v>
      </c>
      <c r="D202" s="288" t="str">
        <f>'財務諸表（入力）'!D39</f>
        <v>投資有価証券</v>
      </c>
      <c r="E202" s="586">
        <f>'財務諸表（入力）'!G39</f>
        <v>0</v>
      </c>
      <c r="F202" s="587">
        <f>'財務諸表（入力）'!J39</f>
        <v>0</v>
      </c>
      <c r="G202" s="588">
        <f t="shared" si="30"/>
        <v>0</v>
      </c>
      <c r="H202" s="586">
        <f t="shared" si="31"/>
        <v>0</v>
      </c>
      <c r="I202" s="587">
        <f t="shared" si="32"/>
        <v>0</v>
      </c>
      <c r="J202" s="589"/>
      <c r="K202" s="587"/>
      <c r="L202" s="774">
        <f>H202</f>
        <v>0</v>
      </c>
      <c r="M202" s="775">
        <f>I202</f>
        <v>0</v>
      </c>
      <c r="N202" s="722"/>
      <c r="O202" s="703"/>
      <c r="P202" s="711"/>
      <c r="Q202" s="727"/>
    </row>
    <row r="203" spans="1:17" ht="12.75" customHeight="1" x14ac:dyDescent="0.2">
      <c r="A203" s="1946"/>
      <c r="B203" s="1946"/>
      <c r="C203" s="1888"/>
      <c r="D203" s="592" t="str">
        <f>'財務諸表（入力）'!D40</f>
        <v>出資金</v>
      </c>
      <c r="E203" s="567">
        <f>'財務諸表（入力）'!G40</f>
        <v>0</v>
      </c>
      <c r="F203" s="568">
        <f>'財務諸表（入力）'!J40</f>
        <v>0</v>
      </c>
      <c r="G203" s="569">
        <f t="shared" si="30"/>
        <v>0</v>
      </c>
      <c r="H203" s="567">
        <f t="shared" si="31"/>
        <v>0</v>
      </c>
      <c r="I203" s="568">
        <f t="shared" si="32"/>
        <v>0</v>
      </c>
      <c r="J203" s="570"/>
      <c r="K203" s="568"/>
      <c r="L203" s="776">
        <f t="shared" ref="L203:L209" si="33">H203</f>
        <v>0</v>
      </c>
      <c r="M203" s="777">
        <f t="shared" ref="M203:M209" si="34">I203</f>
        <v>0</v>
      </c>
      <c r="N203" s="719"/>
      <c r="O203" s="696"/>
      <c r="P203" s="706"/>
      <c r="Q203" s="713"/>
    </row>
    <row r="204" spans="1:17" ht="12.75" customHeight="1" x14ac:dyDescent="0.2">
      <c r="A204" s="1946"/>
      <c r="B204" s="1946"/>
      <c r="C204" s="1888"/>
      <c r="D204" s="592" t="str">
        <f>'財務諸表（入力）'!D41</f>
        <v>保証金他</v>
      </c>
      <c r="E204" s="567">
        <f>'財務諸表（入力）'!G41</f>
        <v>0</v>
      </c>
      <c r="F204" s="568">
        <f>'財務諸表（入力）'!J41</f>
        <v>0</v>
      </c>
      <c r="G204" s="569">
        <f t="shared" si="30"/>
        <v>0</v>
      </c>
      <c r="H204" s="567">
        <f t="shared" si="31"/>
        <v>0</v>
      </c>
      <c r="I204" s="568">
        <f t="shared" si="32"/>
        <v>0</v>
      </c>
      <c r="J204" s="570"/>
      <c r="K204" s="568"/>
      <c r="L204" s="776">
        <f t="shared" si="33"/>
        <v>0</v>
      </c>
      <c r="M204" s="777">
        <f t="shared" si="34"/>
        <v>0</v>
      </c>
      <c r="N204" s="719"/>
      <c r="O204" s="696"/>
      <c r="P204" s="706"/>
      <c r="Q204" s="713"/>
    </row>
    <row r="205" spans="1:17" ht="12.75" customHeight="1" x14ac:dyDescent="0.2">
      <c r="A205" s="1946"/>
      <c r="B205" s="1946"/>
      <c r="C205" s="1888"/>
      <c r="D205" s="592" t="str">
        <f>'財務諸表（入力）'!D42</f>
        <v>敷金</v>
      </c>
      <c r="E205" s="567">
        <f>'財務諸表（入力）'!G42</f>
        <v>0</v>
      </c>
      <c r="F205" s="568">
        <f>'財務諸表（入力）'!J42</f>
        <v>0</v>
      </c>
      <c r="G205" s="569">
        <f t="shared" si="30"/>
        <v>0</v>
      </c>
      <c r="H205" s="567">
        <f t="shared" si="31"/>
        <v>0</v>
      </c>
      <c r="I205" s="568">
        <f t="shared" si="32"/>
        <v>0</v>
      </c>
      <c r="J205" s="570"/>
      <c r="K205" s="568"/>
      <c r="L205" s="776">
        <f t="shared" si="33"/>
        <v>0</v>
      </c>
      <c r="M205" s="777">
        <f t="shared" si="34"/>
        <v>0</v>
      </c>
      <c r="N205" s="719"/>
      <c r="O205" s="696"/>
      <c r="P205" s="706"/>
      <c r="Q205" s="713"/>
    </row>
    <row r="206" spans="1:17" ht="12.75" customHeight="1" x14ac:dyDescent="0.2">
      <c r="A206" s="1946"/>
      <c r="B206" s="1946"/>
      <c r="C206" s="1888"/>
      <c r="D206" s="592" t="str">
        <f>'財務諸表（入力）'!D44</f>
        <v>保険積立金</v>
      </c>
      <c r="E206" s="567">
        <f>'財務諸表（入力）'!G44</f>
        <v>0</v>
      </c>
      <c r="F206" s="568">
        <f>'財務諸表（入力）'!J44</f>
        <v>0</v>
      </c>
      <c r="G206" s="569">
        <f t="shared" si="30"/>
        <v>0</v>
      </c>
      <c r="H206" s="567">
        <f t="shared" si="31"/>
        <v>0</v>
      </c>
      <c r="I206" s="568">
        <f t="shared" si="32"/>
        <v>0</v>
      </c>
      <c r="J206" s="570"/>
      <c r="K206" s="568"/>
      <c r="L206" s="776">
        <f t="shared" si="33"/>
        <v>0</v>
      </c>
      <c r="M206" s="777">
        <f t="shared" si="34"/>
        <v>0</v>
      </c>
      <c r="N206" s="719"/>
      <c r="O206" s="696"/>
      <c r="P206" s="706"/>
      <c r="Q206" s="713"/>
    </row>
    <row r="207" spans="1:17" ht="12.75" customHeight="1" x14ac:dyDescent="0.2">
      <c r="A207" s="1946"/>
      <c r="B207" s="1946"/>
      <c r="C207" s="1888"/>
      <c r="D207" s="592" t="str">
        <f>'財務諸表（入力）'!D45</f>
        <v>貸倒引当金（▲）</v>
      </c>
      <c r="E207" s="567">
        <f>'財務諸表（入力）'!G45</f>
        <v>0</v>
      </c>
      <c r="F207" s="568">
        <f>'財務諸表（入力）'!J45</f>
        <v>0</v>
      </c>
      <c r="G207" s="569">
        <f t="shared" si="30"/>
        <v>0</v>
      </c>
      <c r="H207" s="567">
        <f t="shared" si="31"/>
        <v>0</v>
      </c>
      <c r="I207" s="568">
        <f t="shared" si="32"/>
        <v>0</v>
      </c>
      <c r="J207" s="570"/>
      <c r="K207" s="568"/>
      <c r="L207" s="972"/>
      <c r="M207" s="973"/>
      <c r="N207" s="600">
        <f>H207</f>
        <v>0</v>
      </c>
      <c r="O207" s="572">
        <f>I207</f>
        <v>0</v>
      </c>
      <c r="P207" s="706"/>
      <c r="Q207" s="713"/>
    </row>
    <row r="208" spans="1:17" ht="12.75" customHeight="1" x14ac:dyDescent="0.2">
      <c r="A208" s="1946"/>
      <c r="B208" s="1946"/>
      <c r="C208" s="1888"/>
      <c r="D208" s="592" t="str">
        <f>'財務諸表（入力）'!D43</f>
        <v>関係会社株式</v>
      </c>
      <c r="E208" s="567">
        <f>'財務諸表（入力）'!G43</f>
        <v>0</v>
      </c>
      <c r="F208" s="568">
        <f>'財務諸表（入力）'!J43</f>
        <v>0</v>
      </c>
      <c r="G208" s="569">
        <f t="shared" si="30"/>
        <v>0</v>
      </c>
      <c r="H208" s="567">
        <f t="shared" si="31"/>
        <v>0</v>
      </c>
      <c r="I208" s="568">
        <f t="shared" si="32"/>
        <v>0</v>
      </c>
      <c r="J208" s="570"/>
      <c r="K208" s="568"/>
      <c r="L208" s="776">
        <f t="shared" si="33"/>
        <v>0</v>
      </c>
      <c r="M208" s="777">
        <f t="shared" si="34"/>
        <v>0</v>
      </c>
      <c r="N208" s="719"/>
      <c r="O208" s="696"/>
      <c r="P208" s="706"/>
      <c r="Q208" s="713"/>
    </row>
    <row r="209" spans="1:17" ht="12.75" customHeight="1" x14ac:dyDescent="0.2">
      <c r="A209" s="1946"/>
      <c r="B209" s="1946"/>
      <c r="C209" s="1889"/>
      <c r="D209" s="310" t="str">
        <f>'財務諸表（入力）'!D46</f>
        <v>長期前払費用</v>
      </c>
      <c r="E209" s="575">
        <f>'財務諸表（入力）'!G46</f>
        <v>0</v>
      </c>
      <c r="F209" s="350">
        <f>'財務諸表（入力）'!J46</f>
        <v>0</v>
      </c>
      <c r="G209" s="576">
        <f t="shared" si="30"/>
        <v>0</v>
      </c>
      <c r="H209" s="575">
        <f t="shared" si="31"/>
        <v>0</v>
      </c>
      <c r="I209" s="350">
        <f t="shared" si="32"/>
        <v>0</v>
      </c>
      <c r="J209" s="577"/>
      <c r="K209" s="350"/>
      <c r="L209" s="970">
        <f t="shared" si="33"/>
        <v>0</v>
      </c>
      <c r="M209" s="971">
        <f t="shared" si="34"/>
        <v>0</v>
      </c>
      <c r="N209" s="720"/>
      <c r="O209" s="699"/>
      <c r="P209" s="707"/>
      <c r="Q209" s="708"/>
    </row>
    <row r="210" spans="1:17" ht="12.75" customHeight="1" x14ac:dyDescent="0.2">
      <c r="A210" s="1946"/>
      <c r="B210" s="1946"/>
      <c r="C210" s="1890" t="s">
        <v>403</v>
      </c>
      <c r="D210" s="1891"/>
      <c r="E210" s="580">
        <f>SUM(E202:E209)</f>
        <v>0</v>
      </c>
      <c r="F210" s="581">
        <f>SUM(F202:F209)</f>
        <v>0</v>
      </c>
      <c r="G210" s="582">
        <f t="shared" si="30"/>
        <v>0</v>
      </c>
      <c r="H210" s="580">
        <f>SUM(H202:H209)</f>
        <v>0</v>
      </c>
      <c r="I210" s="581">
        <f>SUM(I202:I209)</f>
        <v>0</v>
      </c>
      <c r="J210" s="583"/>
      <c r="K210" s="338"/>
      <c r="L210" s="968" t="s">
        <v>525</v>
      </c>
      <c r="M210" s="969" t="s">
        <v>525</v>
      </c>
      <c r="N210" s="721"/>
      <c r="O210" s="701"/>
      <c r="P210" s="709"/>
      <c r="Q210" s="710"/>
    </row>
    <row r="211" spans="1:17" ht="12.75" customHeight="1" x14ac:dyDescent="0.2">
      <c r="A211" s="1946"/>
      <c r="B211" s="1947"/>
      <c r="C211" s="1928" t="str">
        <f>'財務諸表（入力）'!C48</f>
        <v>繰延資産</v>
      </c>
      <c r="D211" s="1955"/>
      <c r="E211" s="580">
        <f>'財務諸表（入力）'!G48</f>
        <v>0</v>
      </c>
      <c r="F211" s="581">
        <f>'財務諸表（入力）'!J48</f>
        <v>0</v>
      </c>
      <c r="G211" s="582">
        <f t="shared" si="30"/>
        <v>0</v>
      </c>
      <c r="H211" s="604">
        <f>IF(G211&gt;1,SUM(G211:G211),0)</f>
        <v>0</v>
      </c>
      <c r="I211" s="605">
        <f t="shared" si="32"/>
        <v>0</v>
      </c>
      <c r="J211" s="583"/>
      <c r="K211" s="338"/>
      <c r="L211" s="584">
        <f>H211</f>
        <v>0</v>
      </c>
      <c r="M211" s="585">
        <f>I211</f>
        <v>0</v>
      </c>
      <c r="N211" s="721"/>
      <c r="O211" s="701"/>
      <c r="P211" s="709"/>
      <c r="Q211" s="710"/>
    </row>
    <row r="212" spans="1:17" ht="12.75" customHeight="1" thickBot="1" x14ac:dyDescent="0.25">
      <c r="A212" s="1957"/>
      <c r="B212" s="1939" t="str">
        <f>'財務諸表（入力）'!B49</f>
        <v>固定資産合計</v>
      </c>
      <c r="C212" s="1940"/>
      <c r="D212" s="1941"/>
      <c r="E212" s="608">
        <f>E200+E201+E210+E211</f>
        <v>0</v>
      </c>
      <c r="F212" s="609">
        <f>F200+F201+F210+F211</f>
        <v>0</v>
      </c>
      <c r="G212" s="610">
        <f t="shared" si="30"/>
        <v>0</v>
      </c>
      <c r="H212" s="611">
        <f>H200+H201+H210+H211</f>
        <v>0</v>
      </c>
      <c r="I212" s="612">
        <f>I200+I201+I210+I211</f>
        <v>0</v>
      </c>
      <c r="J212" s="613"/>
      <c r="K212" s="614"/>
      <c r="L212" s="768" t="s">
        <v>231</v>
      </c>
      <c r="M212" s="769" t="s">
        <v>231</v>
      </c>
      <c r="N212" s="723"/>
      <c r="O212" s="724"/>
      <c r="P212" s="728"/>
      <c r="Q212" s="729"/>
    </row>
    <row r="213" spans="1:17" ht="12.75" customHeight="1" thickBot="1" x14ac:dyDescent="0.25">
      <c r="A213" s="1942" t="str">
        <f>'財務諸表（入力）'!A50</f>
        <v>資産合計</v>
      </c>
      <c r="B213" s="1943"/>
      <c r="C213" s="1943"/>
      <c r="D213" s="1944"/>
      <c r="E213" s="615">
        <f>E191+E212</f>
        <v>0</v>
      </c>
      <c r="F213" s="616">
        <f>F191+F212</f>
        <v>0</v>
      </c>
      <c r="G213" s="617">
        <f t="shared" si="30"/>
        <v>0</v>
      </c>
      <c r="H213" s="618">
        <f>H191+H212</f>
        <v>0</v>
      </c>
      <c r="I213" s="619">
        <f>I191+I212</f>
        <v>0</v>
      </c>
      <c r="J213" s="620"/>
      <c r="K213" s="621"/>
      <c r="L213" s="732"/>
      <c r="M213" s="731"/>
      <c r="N213" s="733"/>
      <c r="O213" s="731"/>
      <c r="P213" s="730"/>
      <c r="Q213" s="731"/>
    </row>
    <row r="214" spans="1:17" ht="12.75" customHeight="1" x14ac:dyDescent="0.2">
      <c r="A214" s="1945" t="s">
        <v>402</v>
      </c>
      <c r="B214" s="1948" t="s">
        <v>391</v>
      </c>
      <c r="C214" s="1949"/>
      <c r="D214" s="625" t="str">
        <f>'財務諸表（入力）'!D51</f>
        <v>支払手形</v>
      </c>
      <c r="E214" s="562">
        <f>'財務諸表（入力）'!G51</f>
        <v>0</v>
      </c>
      <c r="F214" s="563">
        <f>'財務諸表（入力）'!J51</f>
        <v>0</v>
      </c>
      <c r="G214" s="564">
        <f t="shared" si="30"/>
        <v>0</v>
      </c>
      <c r="H214" s="562">
        <f>IF(G214&lt;1,SUM(G214:G214)*-1,0)</f>
        <v>0</v>
      </c>
      <c r="I214" s="563">
        <f>IF(G214&gt;1,SUM(G214:G214),0)</f>
        <v>0</v>
      </c>
      <c r="J214" s="626"/>
      <c r="K214" s="563"/>
      <c r="L214" s="693"/>
      <c r="M214" s="694"/>
      <c r="N214" s="598">
        <f>H214</f>
        <v>0</v>
      </c>
      <c r="O214" s="566">
        <f>I214</f>
        <v>0</v>
      </c>
      <c r="P214" s="725"/>
      <c r="Q214" s="726"/>
    </row>
    <row r="215" spans="1:17" ht="12.75" customHeight="1" x14ac:dyDescent="0.2">
      <c r="A215" s="1946"/>
      <c r="B215" s="1950"/>
      <c r="C215" s="1951"/>
      <c r="D215" s="592" t="str">
        <f>'財務諸表（入力）'!D52</f>
        <v>買掛金</v>
      </c>
      <c r="E215" s="567">
        <f>'財務諸表（入力）'!G52</f>
        <v>0</v>
      </c>
      <c r="F215" s="568">
        <f>'財務諸表（入力）'!J52</f>
        <v>0</v>
      </c>
      <c r="G215" s="569">
        <f>F215-E215</f>
        <v>0</v>
      </c>
      <c r="H215" s="567">
        <f>IF(G215&lt;1,SUM(G215:G215)*-1,0)</f>
        <v>0</v>
      </c>
      <c r="I215" s="568">
        <f>IF(G215&gt;1,SUM(G215:G215),0)</f>
        <v>0</v>
      </c>
      <c r="J215" s="570"/>
      <c r="K215" s="568"/>
      <c r="L215" s="695"/>
      <c r="M215" s="696"/>
      <c r="N215" s="600">
        <f>H215</f>
        <v>0</v>
      </c>
      <c r="O215" s="572">
        <f>I215</f>
        <v>0</v>
      </c>
      <c r="P215" s="706"/>
      <c r="Q215" s="713"/>
    </row>
    <row r="216" spans="1:17" ht="12.75" customHeight="1" x14ac:dyDescent="0.2">
      <c r="A216" s="1946"/>
      <c r="B216" s="1950"/>
      <c r="C216" s="1951"/>
      <c r="D216" s="592" t="str">
        <f>'財務諸表（入力）'!D53</f>
        <v>短期借入金</v>
      </c>
      <c r="E216" s="567">
        <f>'財務諸表（入力）'!G53</f>
        <v>0</v>
      </c>
      <c r="F216" s="568">
        <f>'財務諸表（入力）'!J53</f>
        <v>0</v>
      </c>
      <c r="G216" s="569">
        <f>F216-E216</f>
        <v>0</v>
      </c>
      <c r="H216" s="567">
        <f>IF(G216&lt;1,SUM(G216:G216)*-1,0)</f>
        <v>0</v>
      </c>
      <c r="I216" s="568">
        <f>IF(G216&gt;1,SUM(G216:G216),0)</f>
        <v>0</v>
      </c>
      <c r="J216" s="570"/>
      <c r="K216" s="568"/>
      <c r="L216" s="695"/>
      <c r="M216" s="696"/>
      <c r="N216" s="719"/>
      <c r="O216" s="696"/>
      <c r="P216" s="573">
        <f>H216</f>
        <v>0</v>
      </c>
      <c r="Q216" s="234">
        <f>I216</f>
        <v>0</v>
      </c>
    </row>
    <row r="217" spans="1:17" ht="12.75" customHeight="1" x14ac:dyDescent="0.2">
      <c r="A217" s="1946"/>
      <c r="B217" s="1950"/>
      <c r="C217" s="1951"/>
      <c r="D217" s="592" t="str">
        <f>'財務諸表（入力）'!D54</f>
        <v>未払金</v>
      </c>
      <c r="E217" s="567">
        <f>'財務諸表（入力）'!G54</f>
        <v>0</v>
      </c>
      <c r="F217" s="568">
        <f>'財務諸表（入力）'!J54</f>
        <v>0</v>
      </c>
      <c r="G217" s="569">
        <f t="shared" ref="G217:G241" si="35">F217-E217</f>
        <v>0</v>
      </c>
      <c r="H217" s="567">
        <f t="shared" ref="H217:H234" si="36">IF(G217&lt;1,SUM(G217:G217)*-1,0)</f>
        <v>0</v>
      </c>
      <c r="I217" s="568">
        <f t="shared" ref="I217:I234" si="37">IF(G217&gt;1,SUM(G217:G217),0)</f>
        <v>0</v>
      </c>
      <c r="J217" s="570"/>
      <c r="K217" s="568"/>
      <c r="L217" s="695"/>
      <c r="M217" s="696"/>
      <c r="N217" s="600">
        <f t="shared" ref="N217:O219" si="38">H217</f>
        <v>0</v>
      </c>
      <c r="O217" s="572">
        <f t="shared" si="38"/>
        <v>0</v>
      </c>
      <c r="P217" s="706"/>
      <c r="Q217" s="713"/>
    </row>
    <row r="218" spans="1:17" ht="12.75" customHeight="1" x14ac:dyDescent="0.2">
      <c r="A218" s="1946"/>
      <c r="B218" s="1950"/>
      <c r="C218" s="1951"/>
      <c r="D218" s="592" t="str">
        <f>'財務諸表（入力）'!D55</f>
        <v>未払費用</v>
      </c>
      <c r="E218" s="567">
        <f>'財務諸表（入力）'!G55</f>
        <v>0</v>
      </c>
      <c r="F218" s="568">
        <f>'財務諸表（入力）'!J55</f>
        <v>0</v>
      </c>
      <c r="G218" s="569">
        <f t="shared" si="35"/>
        <v>0</v>
      </c>
      <c r="H218" s="567">
        <f t="shared" si="36"/>
        <v>0</v>
      </c>
      <c r="I218" s="568">
        <f t="shared" si="37"/>
        <v>0</v>
      </c>
      <c r="J218" s="570"/>
      <c r="K218" s="568"/>
      <c r="L218" s="695"/>
      <c r="M218" s="696"/>
      <c r="N218" s="600">
        <f t="shared" si="38"/>
        <v>0</v>
      </c>
      <c r="O218" s="572">
        <f t="shared" si="38"/>
        <v>0</v>
      </c>
      <c r="P218" s="706"/>
      <c r="Q218" s="713"/>
    </row>
    <row r="219" spans="1:17" ht="12.75" customHeight="1" x14ac:dyDescent="0.2">
      <c r="A219" s="1946"/>
      <c r="B219" s="1950"/>
      <c r="C219" s="1951"/>
      <c r="D219" s="592" t="str">
        <f>'財務諸表（入力）'!D57</f>
        <v>預り金</v>
      </c>
      <c r="E219" s="567">
        <f>'財務諸表（入力）'!G57</f>
        <v>0</v>
      </c>
      <c r="F219" s="568">
        <f>'財務諸表（入力）'!J57</f>
        <v>0</v>
      </c>
      <c r="G219" s="569">
        <f t="shared" si="35"/>
        <v>0</v>
      </c>
      <c r="H219" s="567">
        <f t="shared" si="36"/>
        <v>0</v>
      </c>
      <c r="I219" s="568">
        <f t="shared" si="37"/>
        <v>0</v>
      </c>
      <c r="J219" s="570"/>
      <c r="K219" s="568"/>
      <c r="L219" s="695"/>
      <c r="M219" s="696"/>
      <c r="N219" s="600">
        <f t="shared" si="38"/>
        <v>0</v>
      </c>
      <c r="O219" s="572">
        <f t="shared" si="38"/>
        <v>0</v>
      </c>
      <c r="P219" s="706"/>
      <c r="Q219" s="713"/>
    </row>
    <row r="220" spans="1:17" ht="12.75" customHeight="1" x14ac:dyDescent="0.2">
      <c r="A220" s="1946"/>
      <c r="B220" s="1950"/>
      <c r="C220" s="1951"/>
      <c r="D220" s="592" t="str">
        <f>'財務諸表（入力）'!D58</f>
        <v>未払法人税等</v>
      </c>
      <c r="E220" s="567">
        <f>'財務諸表（入力）'!G58</f>
        <v>0</v>
      </c>
      <c r="F220" s="568">
        <f>'財務諸表（入力）'!J58</f>
        <v>0</v>
      </c>
      <c r="G220" s="569">
        <f t="shared" si="35"/>
        <v>0</v>
      </c>
      <c r="H220" s="567">
        <f t="shared" si="36"/>
        <v>0</v>
      </c>
      <c r="I220" s="568">
        <f t="shared" si="37"/>
        <v>0</v>
      </c>
      <c r="J220" s="570">
        <f>I220</f>
        <v>0</v>
      </c>
      <c r="K220" s="568">
        <f>H220</f>
        <v>0</v>
      </c>
      <c r="L220" s="695"/>
      <c r="M220" s="696"/>
      <c r="N220" s="757" t="s">
        <v>231</v>
      </c>
      <c r="O220" s="758" t="s">
        <v>231</v>
      </c>
      <c r="P220" s="706"/>
      <c r="Q220" s="713"/>
    </row>
    <row r="221" spans="1:17" ht="12.75" customHeight="1" x14ac:dyDescent="0.2">
      <c r="A221" s="1946"/>
      <c r="B221" s="1950"/>
      <c r="C221" s="1951"/>
      <c r="D221" s="592" t="str">
        <f>'財務諸表（入力）'!D59</f>
        <v>未払消費税</v>
      </c>
      <c r="E221" s="567">
        <f>'財務諸表（入力）'!G59</f>
        <v>0</v>
      </c>
      <c r="F221" s="568">
        <f>'財務諸表（入力）'!J59</f>
        <v>0</v>
      </c>
      <c r="G221" s="569">
        <f t="shared" si="35"/>
        <v>0</v>
      </c>
      <c r="H221" s="567">
        <f t="shared" si="36"/>
        <v>0</v>
      </c>
      <c r="I221" s="568">
        <f t="shared" si="37"/>
        <v>0</v>
      </c>
      <c r="J221" s="570"/>
      <c r="K221" s="568"/>
      <c r="L221" s="695"/>
      <c r="M221" s="696"/>
      <c r="N221" s="600">
        <f t="shared" ref="N221:O223" si="39">H221</f>
        <v>0</v>
      </c>
      <c r="O221" s="572">
        <f t="shared" si="39"/>
        <v>0</v>
      </c>
      <c r="P221" s="706"/>
      <c r="Q221" s="713"/>
    </row>
    <row r="222" spans="1:17" ht="12.75" customHeight="1" x14ac:dyDescent="0.2">
      <c r="A222" s="1946"/>
      <c r="B222" s="1950"/>
      <c r="C222" s="1951"/>
      <c r="D222" s="592" t="str">
        <f>'財務諸表（入力）'!D56</f>
        <v>前受金</v>
      </c>
      <c r="E222" s="567">
        <f>'財務諸表（入力）'!G56</f>
        <v>0</v>
      </c>
      <c r="F222" s="568">
        <f>'財務諸表（入力）'!J56</f>
        <v>0</v>
      </c>
      <c r="G222" s="569">
        <f t="shared" si="35"/>
        <v>0</v>
      </c>
      <c r="H222" s="567">
        <f t="shared" si="36"/>
        <v>0</v>
      </c>
      <c r="I222" s="568">
        <f t="shared" si="37"/>
        <v>0</v>
      </c>
      <c r="J222" s="570"/>
      <c r="K222" s="568"/>
      <c r="L222" s="695"/>
      <c r="M222" s="696"/>
      <c r="N222" s="600">
        <f t="shared" si="39"/>
        <v>0</v>
      </c>
      <c r="O222" s="572">
        <f t="shared" si="39"/>
        <v>0</v>
      </c>
      <c r="P222" s="706"/>
      <c r="Q222" s="713"/>
    </row>
    <row r="223" spans="1:17" ht="12.75" customHeight="1" x14ac:dyDescent="0.2">
      <c r="A223" s="1946"/>
      <c r="B223" s="1952"/>
      <c r="C223" s="1953"/>
      <c r="D223" s="310" t="str">
        <f>'財務諸表（入力）'!D60</f>
        <v>預り保証金他</v>
      </c>
      <c r="E223" s="575">
        <f>'財務諸表（入力）'!G60</f>
        <v>0</v>
      </c>
      <c r="F223" s="350">
        <f>'財務諸表（入力）'!J60</f>
        <v>0</v>
      </c>
      <c r="G223" s="576">
        <f t="shared" si="35"/>
        <v>0</v>
      </c>
      <c r="H223" s="575">
        <f t="shared" si="36"/>
        <v>0</v>
      </c>
      <c r="I223" s="350">
        <f t="shared" si="37"/>
        <v>0</v>
      </c>
      <c r="J223" s="577"/>
      <c r="K223" s="350"/>
      <c r="L223" s="698"/>
      <c r="M223" s="699"/>
      <c r="N223" s="601">
        <f t="shared" si="39"/>
        <v>0</v>
      </c>
      <c r="O223" s="579">
        <f t="shared" si="39"/>
        <v>0</v>
      </c>
      <c r="P223" s="707"/>
      <c r="Q223" s="708"/>
    </row>
    <row r="224" spans="1:17" ht="12.75" customHeight="1" x14ac:dyDescent="0.2">
      <c r="A224" s="1946"/>
      <c r="B224" s="1928" t="str">
        <f>'財務諸表（入力）'!B61</f>
        <v>流動負債合計</v>
      </c>
      <c r="C224" s="1954"/>
      <c r="D224" s="1955"/>
      <c r="E224" s="580">
        <f>SUM(E214:E223)</f>
        <v>0</v>
      </c>
      <c r="F224" s="581">
        <f>SUM(F214:F223)</f>
        <v>0</v>
      </c>
      <c r="G224" s="582">
        <f t="shared" si="35"/>
        <v>0</v>
      </c>
      <c r="H224" s="580">
        <f>SUM(H214:H223)</f>
        <v>0</v>
      </c>
      <c r="I224" s="581">
        <f>SUM(I214:I223)</f>
        <v>0</v>
      </c>
      <c r="J224" s="583"/>
      <c r="K224" s="338"/>
      <c r="L224" s="700"/>
      <c r="M224" s="701"/>
      <c r="N224" s="770" t="s">
        <v>234</v>
      </c>
      <c r="O224" s="771" t="s">
        <v>234</v>
      </c>
      <c r="P224" s="709"/>
      <c r="Q224" s="710"/>
    </row>
    <row r="225" spans="1:17" ht="12.75" customHeight="1" x14ac:dyDescent="0.2">
      <c r="A225" s="1946"/>
      <c r="B225" s="1897" t="s">
        <v>211</v>
      </c>
      <c r="C225" s="1956"/>
      <c r="D225" s="288" t="str">
        <f>'財務諸表（入力）'!D62</f>
        <v>長期借入金</v>
      </c>
      <c r="E225" s="586">
        <f>'財務諸表（入力）'!G62</f>
        <v>0</v>
      </c>
      <c r="F225" s="587">
        <f>'財務諸表（入力）'!J62</f>
        <v>0</v>
      </c>
      <c r="G225" s="588">
        <f t="shared" si="35"/>
        <v>0</v>
      </c>
      <c r="H225" s="586">
        <f t="shared" si="36"/>
        <v>0</v>
      </c>
      <c r="I225" s="587">
        <f t="shared" si="37"/>
        <v>0</v>
      </c>
      <c r="J225" s="589"/>
      <c r="K225" s="587"/>
      <c r="L225" s="590">
        <f t="shared" ref="L225:M231" si="40">H225</f>
        <v>0</v>
      </c>
      <c r="M225" s="591">
        <f t="shared" si="40"/>
        <v>0</v>
      </c>
      <c r="N225" s="722"/>
      <c r="O225" s="703"/>
      <c r="P225" s="711"/>
      <c r="Q225" s="727"/>
    </row>
    <row r="226" spans="1:17" ht="12.75" customHeight="1" x14ac:dyDescent="0.2">
      <c r="A226" s="1946"/>
      <c r="B226" s="1950"/>
      <c r="C226" s="1951"/>
      <c r="D226" s="592" t="str">
        <f>'財務諸表（入力）'!D64</f>
        <v>設備支払手形</v>
      </c>
      <c r="E226" s="567">
        <f>'財務諸表（入力）'!G64</f>
        <v>0</v>
      </c>
      <c r="F226" s="568">
        <f>'財務諸表（入力）'!J64</f>
        <v>0</v>
      </c>
      <c r="G226" s="569">
        <f t="shared" si="35"/>
        <v>0</v>
      </c>
      <c r="H226" s="567">
        <f t="shared" si="36"/>
        <v>0</v>
      </c>
      <c r="I226" s="568">
        <f t="shared" si="37"/>
        <v>0</v>
      </c>
      <c r="J226" s="570"/>
      <c r="K226" s="568"/>
      <c r="L226" s="571">
        <f t="shared" si="40"/>
        <v>0</v>
      </c>
      <c r="M226" s="572">
        <f t="shared" si="40"/>
        <v>0</v>
      </c>
      <c r="N226" s="719"/>
      <c r="O226" s="696"/>
      <c r="P226" s="706"/>
      <c r="Q226" s="713"/>
    </row>
    <row r="227" spans="1:17" ht="12.75" customHeight="1" x14ac:dyDescent="0.2">
      <c r="A227" s="1946"/>
      <c r="B227" s="1950"/>
      <c r="C227" s="1951"/>
      <c r="D227" s="592" t="str">
        <f>'財務諸表（入力）'!D65</f>
        <v>リース債務</v>
      </c>
      <c r="E227" s="567">
        <f>'財務諸表（入力）'!G65</f>
        <v>0</v>
      </c>
      <c r="F227" s="568">
        <f>'財務諸表（入力）'!J65</f>
        <v>0</v>
      </c>
      <c r="G227" s="569">
        <f t="shared" si="35"/>
        <v>0</v>
      </c>
      <c r="H227" s="567">
        <f t="shared" si="36"/>
        <v>0</v>
      </c>
      <c r="I227" s="568">
        <f t="shared" si="37"/>
        <v>0</v>
      </c>
      <c r="J227" s="570"/>
      <c r="K227" s="568"/>
      <c r="L227" s="571">
        <f t="shared" si="40"/>
        <v>0</v>
      </c>
      <c r="M227" s="572">
        <f t="shared" si="40"/>
        <v>0</v>
      </c>
      <c r="N227" s="719"/>
      <c r="O227" s="696"/>
      <c r="P227" s="706"/>
      <c r="Q227" s="713"/>
    </row>
    <row r="228" spans="1:17" ht="12.75" customHeight="1" x14ac:dyDescent="0.2">
      <c r="A228" s="1946"/>
      <c r="B228" s="1950"/>
      <c r="C228" s="1951"/>
      <c r="D228" s="232">
        <f>'財務諸表（入力）'!D66</f>
        <v>0</v>
      </c>
      <c r="E228" s="567">
        <f>'財務諸表（入力）'!G66</f>
        <v>0</v>
      </c>
      <c r="F228" s="568">
        <f>'財務諸表（入力）'!J66</f>
        <v>0</v>
      </c>
      <c r="G228" s="569">
        <f t="shared" si="35"/>
        <v>0</v>
      </c>
      <c r="H228" s="567">
        <f t="shared" si="36"/>
        <v>0</v>
      </c>
      <c r="I228" s="568">
        <f t="shared" si="37"/>
        <v>0</v>
      </c>
      <c r="J228" s="570"/>
      <c r="K228" s="568"/>
      <c r="L228" s="571">
        <f t="shared" si="40"/>
        <v>0</v>
      </c>
      <c r="M228" s="572">
        <f t="shared" si="40"/>
        <v>0</v>
      </c>
      <c r="N228" s="719"/>
      <c r="O228" s="696"/>
      <c r="P228" s="706"/>
      <c r="Q228" s="713"/>
    </row>
    <row r="229" spans="1:17" ht="12.75" customHeight="1" x14ac:dyDescent="0.2">
      <c r="A229" s="1946"/>
      <c r="B229" s="1950"/>
      <c r="C229" s="1951"/>
      <c r="D229" s="592" t="str">
        <f>'財務諸表（入力）'!D63</f>
        <v>社債</v>
      </c>
      <c r="E229" s="567">
        <f>'財務諸表（入力）'!G63</f>
        <v>0</v>
      </c>
      <c r="F229" s="568">
        <f>'財務諸表（入力）'!J63</f>
        <v>0</v>
      </c>
      <c r="G229" s="569">
        <f t="shared" si="35"/>
        <v>0</v>
      </c>
      <c r="H229" s="567">
        <f t="shared" si="36"/>
        <v>0</v>
      </c>
      <c r="I229" s="568">
        <f t="shared" si="37"/>
        <v>0</v>
      </c>
      <c r="J229" s="570"/>
      <c r="K229" s="568"/>
      <c r="L229" s="571">
        <f t="shared" si="40"/>
        <v>0</v>
      </c>
      <c r="M229" s="572">
        <f t="shared" si="40"/>
        <v>0</v>
      </c>
      <c r="N229" s="719"/>
      <c r="O229" s="696"/>
      <c r="P229" s="706"/>
      <c r="Q229" s="713"/>
    </row>
    <row r="230" spans="1:17" ht="12.75" customHeight="1" x14ac:dyDescent="0.2">
      <c r="A230" s="1946"/>
      <c r="B230" s="1950"/>
      <c r="C230" s="1951"/>
      <c r="D230" s="592">
        <f>'財務諸表（入力）'!D67</f>
        <v>0</v>
      </c>
      <c r="E230" s="567">
        <f>'財務諸表（入力）'!G67</f>
        <v>0</v>
      </c>
      <c r="F230" s="568">
        <f>'財務諸表（入力）'!J67</f>
        <v>0</v>
      </c>
      <c r="G230" s="569">
        <f t="shared" si="35"/>
        <v>0</v>
      </c>
      <c r="H230" s="567">
        <f t="shared" si="36"/>
        <v>0</v>
      </c>
      <c r="I230" s="568">
        <f t="shared" si="37"/>
        <v>0</v>
      </c>
      <c r="J230" s="570"/>
      <c r="K230" s="568"/>
      <c r="L230" s="571">
        <f t="shared" si="40"/>
        <v>0</v>
      </c>
      <c r="M230" s="572">
        <f t="shared" si="40"/>
        <v>0</v>
      </c>
      <c r="N230" s="719"/>
      <c r="O230" s="696"/>
      <c r="P230" s="706"/>
      <c r="Q230" s="713"/>
    </row>
    <row r="231" spans="1:17" ht="12.75" customHeight="1" x14ac:dyDescent="0.2">
      <c r="A231" s="1946"/>
      <c r="B231" s="1952"/>
      <c r="C231" s="1953"/>
      <c r="D231" s="310">
        <f>'財務諸表（入力）'!D68</f>
        <v>0</v>
      </c>
      <c r="E231" s="575">
        <f>'財務諸表（入力）'!G68</f>
        <v>0</v>
      </c>
      <c r="F231" s="350">
        <f>'財務諸表（入力）'!J68</f>
        <v>0</v>
      </c>
      <c r="G231" s="576">
        <f t="shared" si="35"/>
        <v>0</v>
      </c>
      <c r="H231" s="575">
        <f t="shared" si="36"/>
        <v>0</v>
      </c>
      <c r="I231" s="350">
        <f t="shared" si="37"/>
        <v>0</v>
      </c>
      <c r="J231" s="577"/>
      <c r="K231" s="350"/>
      <c r="L231" s="578">
        <f t="shared" si="40"/>
        <v>0</v>
      </c>
      <c r="M231" s="579">
        <f t="shared" si="40"/>
        <v>0</v>
      </c>
      <c r="N231" s="720"/>
      <c r="O231" s="699"/>
      <c r="P231" s="707"/>
      <c r="Q231" s="708"/>
    </row>
    <row r="232" spans="1:17" ht="12.75" customHeight="1" x14ac:dyDescent="0.2">
      <c r="A232" s="1947"/>
      <c r="B232" s="1928" t="str">
        <f>'財務諸表（入力）'!B69</f>
        <v>固定負債合計</v>
      </c>
      <c r="C232" s="1954"/>
      <c r="D232" s="1955"/>
      <c r="E232" s="580">
        <f>SUM(E225:E231)</f>
        <v>0</v>
      </c>
      <c r="F232" s="581">
        <f>SUM(F225:F231)</f>
        <v>0</v>
      </c>
      <c r="G232" s="582">
        <f t="shared" si="35"/>
        <v>0</v>
      </c>
      <c r="H232" s="580">
        <f>SUM(H225:H231)</f>
        <v>0</v>
      </c>
      <c r="I232" s="581">
        <f>SUM(I225:I231)</f>
        <v>0</v>
      </c>
      <c r="J232" s="583"/>
      <c r="K232" s="338"/>
      <c r="L232" s="772" t="s">
        <v>231</v>
      </c>
      <c r="M232" s="754" t="s">
        <v>231</v>
      </c>
      <c r="N232" s="721"/>
      <c r="O232" s="701"/>
      <c r="P232" s="709"/>
      <c r="Q232" s="710"/>
    </row>
    <row r="233" spans="1:17" ht="12.75" customHeight="1" x14ac:dyDescent="0.2">
      <c r="A233" s="1928" t="str">
        <f>'財務諸表（入力）'!A70</f>
        <v>負債合計</v>
      </c>
      <c r="B233" s="1954"/>
      <c r="C233" s="1954"/>
      <c r="D233" s="1955"/>
      <c r="E233" s="608">
        <f>E224+E232</f>
        <v>0</v>
      </c>
      <c r="F233" s="609">
        <f>F224+F232</f>
        <v>0</v>
      </c>
      <c r="G233" s="610">
        <f t="shared" si="35"/>
        <v>0</v>
      </c>
      <c r="H233" s="611">
        <f>H224+H232</f>
        <v>0</v>
      </c>
      <c r="I233" s="612">
        <f>I224+I232</f>
        <v>0</v>
      </c>
      <c r="J233" s="613"/>
      <c r="K233" s="614"/>
      <c r="L233" s="773"/>
      <c r="M233" s="724"/>
      <c r="N233" s="723"/>
      <c r="O233" s="724"/>
      <c r="P233" s="728"/>
      <c r="Q233" s="729"/>
    </row>
    <row r="234" spans="1:17" ht="12.75" customHeight="1" x14ac:dyDescent="0.2">
      <c r="A234" s="1897" t="s">
        <v>214</v>
      </c>
      <c r="B234" s="1956"/>
      <c r="C234" s="1913" t="s">
        <v>394</v>
      </c>
      <c r="D234" s="288" t="str">
        <f>'財務諸表（入力）'!D71</f>
        <v>資本金</v>
      </c>
      <c r="E234" s="586">
        <f>'財務諸表（入力）'!G71</f>
        <v>0</v>
      </c>
      <c r="F234" s="587">
        <f>'財務諸表（入力）'!J71</f>
        <v>0</v>
      </c>
      <c r="G234" s="588">
        <f t="shared" si="35"/>
        <v>0</v>
      </c>
      <c r="H234" s="586">
        <f t="shared" si="36"/>
        <v>0</v>
      </c>
      <c r="I234" s="587">
        <f t="shared" si="37"/>
        <v>0</v>
      </c>
      <c r="J234" s="589"/>
      <c r="K234" s="587"/>
      <c r="L234" s="774">
        <f>H234</f>
        <v>0</v>
      </c>
      <c r="M234" s="775">
        <f>I234</f>
        <v>0</v>
      </c>
      <c r="N234" s="722"/>
      <c r="O234" s="703"/>
      <c r="P234" s="711"/>
      <c r="Q234" s="727"/>
    </row>
    <row r="235" spans="1:17" ht="12.75" customHeight="1" x14ac:dyDescent="0.2">
      <c r="A235" s="1950"/>
      <c r="B235" s="1951"/>
      <c r="C235" s="1959"/>
      <c r="D235" s="593" t="str">
        <f>'財務諸表（入力）'!D72</f>
        <v>資本剰余金</v>
      </c>
      <c r="E235" s="567">
        <f>'財務諸表（入力）'!G72</f>
        <v>0</v>
      </c>
      <c r="F235" s="207">
        <f>'財務諸表（入力）'!J72</f>
        <v>0</v>
      </c>
      <c r="G235" s="569">
        <f t="shared" si="35"/>
        <v>0</v>
      </c>
      <c r="H235" s="567">
        <f>IF(G235&lt;1,SUM(G235:G235)*-1,0)</f>
        <v>0</v>
      </c>
      <c r="I235" s="568">
        <f>IF(G235&gt;1,SUM(G235:G235),0)</f>
        <v>0</v>
      </c>
      <c r="J235" s="570"/>
      <c r="K235" s="568"/>
      <c r="L235" s="776">
        <f>H235</f>
        <v>0</v>
      </c>
      <c r="M235" s="777">
        <f>I235</f>
        <v>0</v>
      </c>
      <c r="N235" s="719"/>
      <c r="O235" s="696"/>
      <c r="P235" s="706"/>
      <c r="Q235" s="713"/>
    </row>
    <row r="236" spans="1:17" ht="12.75" customHeight="1" x14ac:dyDescent="0.2">
      <c r="A236" s="1950"/>
      <c r="B236" s="1951"/>
      <c r="C236" s="1959"/>
      <c r="D236" s="593" t="str">
        <f>'財務諸表（入力）'!D73</f>
        <v>利益剰余金</v>
      </c>
      <c r="E236" s="567">
        <f>'財務諸表（入力）'!G73</f>
        <v>0</v>
      </c>
      <c r="F236" s="568">
        <f>'財務諸表（入力）'!J73</f>
        <v>0</v>
      </c>
      <c r="G236" s="569">
        <f t="shared" si="35"/>
        <v>0</v>
      </c>
      <c r="H236" s="567">
        <f>IF(G236&lt;1,SUM(G236:G236)*-1,0)</f>
        <v>0</v>
      </c>
      <c r="I236" s="568">
        <f>IF(G236&gt;1,SUM(G236:G236),0)</f>
        <v>0</v>
      </c>
      <c r="J236" s="570">
        <f>K251-J249</f>
        <v>0</v>
      </c>
      <c r="K236" s="568">
        <f>J247+J248</f>
        <v>0</v>
      </c>
      <c r="L236" s="776">
        <f>IF(H236+J236-I236-K236&gt;0,H236+J236-I236+K236,0)</f>
        <v>0</v>
      </c>
      <c r="M236" s="777">
        <f>IF(I236+K236-H236-J236&gt;0,I236+K236-H236-J236,0)</f>
        <v>0</v>
      </c>
      <c r="N236" s="719"/>
      <c r="O236" s="696"/>
      <c r="P236" s="706"/>
      <c r="Q236" s="713"/>
    </row>
    <row r="237" spans="1:17" ht="12.75" customHeight="1" x14ac:dyDescent="0.2">
      <c r="A237" s="1950"/>
      <c r="B237" s="1951"/>
      <c r="C237" s="1959"/>
      <c r="D237" s="232" t="str">
        <f>'財務諸表（入力）'!D74</f>
        <v>うち準備金、積立金</v>
      </c>
      <c r="E237" s="567">
        <f>'財務諸表（入力）'!G74</f>
        <v>0</v>
      </c>
      <c r="F237" s="568">
        <f>'財務諸表（入力）'!J74</f>
        <v>0</v>
      </c>
      <c r="G237" s="569">
        <f t="shared" si="35"/>
        <v>0</v>
      </c>
      <c r="H237" s="567">
        <f>IF(G237&lt;1,SUM(G237:G237)*-1,0)</f>
        <v>0</v>
      </c>
      <c r="I237" s="568">
        <f>IF(G237&gt;1,SUM(G237:G237),0)</f>
        <v>0</v>
      </c>
      <c r="J237" s="570"/>
      <c r="K237" s="568"/>
      <c r="L237" s="927" t="s">
        <v>483</v>
      </c>
      <c r="M237" s="928" t="s">
        <v>483</v>
      </c>
      <c r="N237" s="719"/>
      <c r="O237" s="696"/>
      <c r="P237" s="706"/>
      <c r="Q237" s="713"/>
    </row>
    <row r="238" spans="1:17" ht="12.75" customHeight="1" x14ac:dyDescent="0.2">
      <c r="A238" s="1950"/>
      <c r="B238" s="1951"/>
      <c r="C238" s="1960"/>
      <c r="D238" s="235" t="str">
        <f>'財務諸表（入力）'!D75</f>
        <v>うち繰越利益剰余金</v>
      </c>
      <c r="E238" s="575">
        <f>'財務諸表（入力）'!G75</f>
        <v>0</v>
      </c>
      <c r="F238" s="350">
        <f>'財務諸表（入力）'!J75</f>
        <v>0</v>
      </c>
      <c r="G238" s="576">
        <f t="shared" si="35"/>
        <v>0</v>
      </c>
      <c r="H238" s="575">
        <f>IF(G238&lt;1,SUM(G238:G238)*-1,0)</f>
        <v>0</v>
      </c>
      <c r="I238" s="350">
        <f>IF(G238&gt;1,SUM(G238:G238),0)</f>
        <v>0</v>
      </c>
      <c r="J238" s="577"/>
      <c r="K238" s="350"/>
      <c r="L238" s="778" t="s">
        <v>231</v>
      </c>
      <c r="M238" s="779" t="s">
        <v>231</v>
      </c>
      <c r="N238" s="720"/>
      <c r="O238" s="699"/>
      <c r="P238" s="707"/>
      <c r="Q238" s="708"/>
    </row>
    <row r="239" spans="1:17" ht="12.75" customHeight="1" x14ac:dyDescent="0.2">
      <c r="A239" s="1950"/>
      <c r="B239" s="1951"/>
      <c r="C239" s="1892" t="s">
        <v>393</v>
      </c>
      <c r="D239" s="1961"/>
      <c r="E239" s="627">
        <f>SUM(E234:E236)</f>
        <v>0</v>
      </c>
      <c r="F239" s="628">
        <f>SUM(F234:F236)</f>
        <v>0</v>
      </c>
      <c r="G239" s="629">
        <f t="shared" si="35"/>
        <v>0</v>
      </c>
      <c r="H239" s="627">
        <f>SUM(H234:H236)</f>
        <v>0</v>
      </c>
      <c r="I239" s="628">
        <f>SUM(I234:I236)</f>
        <v>0</v>
      </c>
      <c r="J239" s="589"/>
      <c r="K239" s="587"/>
      <c r="L239" s="780" t="s">
        <v>231</v>
      </c>
      <c r="M239" s="756" t="s">
        <v>231</v>
      </c>
      <c r="N239" s="722"/>
      <c r="O239" s="703"/>
      <c r="P239" s="711"/>
      <c r="Q239" s="727"/>
    </row>
    <row r="240" spans="1:17" ht="12.75" customHeight="1" x14ac:dyDescent="0.2">
      <c r="A240" s="1950"/>
      <c r="B240" s="1951"/>
      <c r="C240" s="1918" t="str">
        <f>'財務諸表（入力）'!B77</f>
        <v>自己株式（▲）</v>
      </c>
      <c r="D240" s="1919"/>
      <c r="E240" s="630">
        <f>'財務諸表（入力）'!G77</f>
        <v>0</v>
      </c>
      <c r="F240" s="631">
        <f>'財務諸表（入力）'!J77</f>
        <v>0</v>
      </c>
      <c r="G240" s="632">
        <f t="shared" si="35"/>
        <v>0</v>
      </c>
      <c r="H240" s="633">
        <f>IF(G240&lt;1,SUM(G240:G240)*-1,0)</f>
        <v>0</v>
      </c>
      <c r="I240" s="634">
        <f>IF(G240&gt;1,SUM(G240:G240),0)</f>
        <v>0</v>
      </c>
      <c r="J240" s="635"/>
      <c r="K240" s="568"/>
      <c r="L240" s="964">
        <f>H240</f>
        <v>0</v>
      </c>
      <c r="M240" s="965">
        <f>I240</f>
        <v>0</v>
      </c>
      <c r="N240" s="719"/>
      <c r="O240" s="696"/>
      <c r="P240" s="706"/>
      <c r="Q240" s="713"/>
    </row>
    <row r="241" spans="1:17" ht="12.75" customHeight="1" x14ac:dyDescent="0.2">
      <c r="A241" s="1952"/>
      <c r="B241" s="1953"/>
      <c r="C241" s="1920">
        <f>'財務諸表（入力）'!B78</f>
        <v>0</v>
      </c>
      <c r="D241" s="1921"/>
      <c r="E241" s="636">
        <f>'財務諸表（入力）'!G78</f>
        <v>0</v>
      </c>
      <c r="F241" s="637">
        <f>'財務諸表（入力）'!J78</f>
        <v>0</v>
      </c>
      <c r="G241" s="638">
        <f t="shared" si="35"/>
        <v>0</v>
      </c>
      <c r="H241" s="639">
        <f>IF(G241&lt;1,SUM(G241:G241)*-1,0)</f>
        <v>0</v>
      </c>
      <c r="I241" s="640">
        <f>IF(G241&gt;1,SUM(G241:G241),0)</f>
        <v>0</v>
      </c>
      <c r="J241" s="641"/>
      <c r="K241" s="350"/>
      <c r="L241" s="964">
        <f>H241</f>
        <v>0</v>
      </c>
      <c r="M241" s="965">
        <f>I241</f>
        <v>0</v>
      </c>
      <c r="N241" s="720"/>
      <c r="O241" s="699"/>
      <c r="P241" s="707"/>
      <c r="Q241" s="708"/>
    </row>
    <row r="242" spans="1:17" ht="12.75" customHeight="1" thickBot="1" x14ac:dyDescent="0.25">
      <c r="A242" s="1933" t="s">
        <v>166</v>
      </c>
      <c r="B242" s="1934"/>
      <c r="C242" s="1934"/>
      <c r="D242" s="1935"/>
      <c r="E242" s="608">
        <f>E239+E240</f>
        <v>0</v>
      </c>
      <c r="F242" s="609">
        <f>F239+F240</f>
        <v>0</v>
      </c>
      <c r="G242" s="610">
        <f>F242-E242</f>
        <v>0</v>
      </c>
      <c r="H242" s="642">
        <f>H239+H240+H241</f>
        <v>0</v>
      </c>
      <c r="I242" s="609">
        <f>I239+I240+I241</f>
        <v>0</v>
      </c>
      <c r="J242" s="613"/>
      <c r="K242" s="614"/>
      <c r="L242" s="781" t="s">
        <v>231</v>
      </c>
      <c r="M242" s="769" t="s">
        <v>231</v>
      </c>
      <c r="N242" s="723"/>
      <c r="O242" s="724"/>
      <c r="P242" s="728"/>
      <c r="Q242" s="729"/>
    </row>
    <row r="243" spans="1:17" ht="12.75" customHeight="1" thickTop="1" thickBot="1" x14ac:dyDescent="0.25">
      <c r="A243" s="1936" t="s">
        <v>167</v>
      </c>
      <c r="B243" s="1937"/>
      <c r="C243" s="1937"/>
      <c r="D243" s="1938"/>
      <c r="E243" s="643">
        <f>E233+E242</f>
        <v>0</v>
      </c>
      <c r="F243" s="644">
        <f>F233+F242</f>
        <v>0</v>
      </c>
      <c r="G243" s="645">
        <f>F243-E243</f>
        <v>0</v>
      </c>
      <c r="H243" s="646">
        <f>H233+H242</f>
        <v>0</v>
      </c>
      <c r="I243" s="647">
        <f>I233+I242</f>
        <v>0</v>
      </c>
      <c r="J243" s="648"/>
      <c r="K243" s="649"/>
      <c r="L243" s="740"/>
      <c r="M243" s="739"/>
      <c r="N243" s="738"/>
      <c r="O243" s="739"/>
      <c r="P243" s="734"/>
      <c r="Q243" s="735"/>
    </row>
    <row r="244" spans="1:17" ht="12.75" customHeight="1" thickTop="1" x14ac:dyDescent="0.2">
      <c r="A244" s="103"/>
      <c r="E244" s="103" t="s">
        <v>99</v>
      </c>
      <c r="G244" s="653" t="s">
        <v>32</v>
      </c>
      <c r="H244" s="654"/>
      <c r="I244" s="654"/>
      <c r="J244" s="655"/>
      <c r="K244" s="656">
        <f>'財務諸表（入力）'!J102+'財務諸表（入力）'!J142</f>
        <v>0</v>
      </c>
      <c r="L244" s="741"/>
      <c r="M244" s="657">
        <f>K244</f>
        <v>0</v>
      </c>
      <c r="N244" s="744"/>
      <c r="O244" s="745"/>
      <c r="P244" s="736"/>
      <c r="Q244" s="737"/>
    </row>
    <row r="245" spans="1:17" ht="12.75" customHeight="1" x14ac:dyDescent="0.2">
      <c r="A245" s="103"/>
      <c r="D245" s="658"/>
      <c r="E245" s="103"/>
      <c r="G245" s="417" t="s">
        <v>399</v>
      </c>
      <c r="H245" s="599"/>
      <c r="I245" s="567"/>
      <c r="J245" s="635">
        <f>IF(('財務諸表（入力）'!N83+'財務諸表（入力）'!N84)&lt;1,('財務諸表（入力）'!N83+'財務諸表（入力）'!N84)*-1,0)</f>
        <v>0</v>
      </c>
      <c r="K245" s="568">
        <f>IF(('財務諸表（入力）'!N83+'財務諸表（入力）'!N84)&gt;1,('財務諸表（入力）'!N83+'財務諸表（入力）'!N84),0)</f>
        <v>0</v>
      </c>
      <c r="L245" s="742"/>
      <c r="M245" s="696"/>
      <c r="N245" s="719"/>
      <c r="O245" s="696"/>
      <c r="P245" s="573">
        <f>J245</f>
        <v>0</v>
      </c>
      <c r="Q245" s="234">
        <f>K245</f>
        <v>0</v>
      </c>
    </row>
    <row r="246" spans="1:17" ht="12.75" customHeight="1" x14ac:dyDescent="0.2">
      <c r="A246" s="103" t="s">
        <v>100</v>
      </c>
      <c r="D246" s="658"/>
      <c r="E246" s="103"/>
      <c r="G246" s="417"/>
      <c r="H246" s="599"/>
      <c r="I246" s="567"/>
      <c r="J246" s="570"/>
      <c r="K246" s="660"/>
      <c r="L246" s="742"/>
      <c r="M246" s="696"/>
      <c r="N246" s="719"/>
      <c r="O246" s="696"/>
      <c r="P246" s="706"/>
      <c r="Q246" s="713"/>
    </row>
    <row r="247" spans="1:17" ht="12.75" customHeight="1" x14ac:dyDescent="0.2">
      <c r="A247" s="661" t="s">
        <v>101</v>
      </c>
      <c r="F247" s="103"/>
      <c r="G247" s="207" t="s">
        <v>56</v>
      </c>
      <c r="H247" s="599"/>
      <c r="I247" s="567"/>
      <c r="J247" s="635">
        <f>'財務諸表（入力）'!J173</f>
        <v>0</v>
      </c>
      <c r="K247" s="568"/>
      <c r="L247" s="659">
        <f>J247</f>
        <v>0</v>
      </c>
      <c r="M247" s="696"/>
      <c r="N247" s="719"/>
      <c r="O247" s="696"/>
      <c r="P247" s="706"/>
      <c r="Q247" s="713"/>
    </row>
    <row r="248" spans="1:17" ht="12.75" customHeight="1" x14ac:dyDescent="0.2">
      <c r="A248" s="662" t="s">
        <v>102</v>
      </c>
      <c r="B248" s="663"/>
      <c r="C248" s="663"/>
      <c r="D248" s="664"/>
      <c r="E248" s="665">
        <f>'財務諸表（入力）'!G58</f>
        <v>0</v>
      </c>
      <c r="F248" s="103"/>
      <c r="G248" s="207" t="s">
        <v>57</v>
      </c>
      <c r="H248" s="567"/>
      <c r="I248" s="567"/>
      <c r="J248" s="635">
        <f>'財務諸表（入力）'!J174</f>
        <v>0</v>
      </c>
      <c r="K248" s="568"/>
      <c r="L248" s="659">
        <f>J248</f>
        <v>0</v>
      </c>
      <c r="M248" s="696"/>
      <c r="N248" s="719"/>
      <c r="O248" s="696"/>
      <c r="P248" s="706"/>
      <c r="Q248" s="713"/>
    </row>
    <row r="249" spans="1:17" ht="12.75" customHeight="1" x14ac:dyDescent="0.2">
      <c r="A249" s="666" t="s">
        <v>59</v>
      </c>
      <c r="E249" s="239">
        <f>'財務諸表（入力）'!J170</f>
        <v>0</v>
      </c>
      <c r="F249" s="103"/>
      <c r="G249" s="207" t="s">
        <v>104</v>
      </c>
      <c r="H249" s="567"/>
      <c r="I249" s="567"/>
      <c r="J249" s="635">
        <f>'財務諸表（入力）'!J170</f>
        <v>0</v>
      </c>
      <c r="K249" s="568"/>
      <c r="L249" s="659">
        <f>J249+J250-K250</f>
        <v>0</v>
      </c>
      <c r="M249" s="696"/>
      <c r="N249" s="719"/>
      <c r="O249" s="696"/>
      <c r="P249" s="706"/>
      <c r="Q249" s="713"/>
    </row>
    <row r="250" spans="1:17" ht="12.75" customHeight="1" x14ac:dyDescent="0.2">
      <c r="A250" s="666" t="s">
        <v>60</v>
      </c>
      <c r="D250" s="658"/>
      <c r="E250" s="239">
        <f>'財務諸表（入力）'!J58</f>
        <v>0</v>
      </c>
      <c r="F250" s="103"/>
      <c r="G250" s="417" t="s">
        <v>169</v>
      </c>
      <c r="H250" s="567"/>
      <c r="I250" s="567"/>
      <c r="J250" s="635">
        <f>K220</f>
        <v>0</v>
      </c>
      <c r="K250" s="568">
        <f>J220</f>
        <v>0</v>
      </c>
      <c r="L250" s="742"/>
      <c r="M250" s="696"/>
      <c r="N250" s="719"/>
      <c r="O250" s="696"/>
      <c r="P250" s="706"/>
      <c r="Q250" s="713"/>
    </row>
    <row r="251" spans="1:17" ht="12.75" customHeight="1" thickBot="1" x14ac:dyDescent="0.25">
      <c r="A251" s="338"/>
      <c r="B251" s="667"/>
      <c r="C251" s="667"/>
      <c r="D251" s="668"/>
      <c r="E251" s="337">
        <f>E248+E249-E250</f>
        <v>0</v>
      </c>
      <c r="F251" s="103"/>
      <c r="G251" s="209" t="s">
        <v>53</v>
      </c>
      <c r="H251" s="669"/>
      <c r="I251" s="669"/>
      <c r="J251" s="670"/>
      <c r="K251" s="671">
        <f>'財務諸表（入力）'!J169</f>
        <v>0</v>
      </c>
      <c r="L251" s="743"/>
      <c r="M251" s="672">
        <f>K251</f>
        <v>0</v>
      </c>
      <c r="N251" s="746"/>
      <c r="O251" s="747"/>
      <c r="P251" s="748"/>
      <c r="Q251" s="749"/>
    </row>
    <row r="252" spans="1:17" ht="12.75" customHeight="1" thickBot="1" x14ac:dyDescent="0.25">
      <c r="D252" s="323" t="s">
        <v>405</v>
      </c>
      <c r="E252" s="100">
        <f>L249-E251</f>
        <v>0</v>
      </c>
      <c r="F252" s="103"/>
      <c r="G252" s="673" t="s">
        <v>105</v>
      </c>
      <c r="H252" s="674"/>
      <c r="I252" s="674"/>
      <c r="J252" s="618">
        <f>SUM(J170:J251)-J237-J238</f>
        <v>0</v>
      </c>
      <c r="K252" s="616">
        <f>SUM(K170:K251)-K237-K238</f>
        <v>0</v>
      </c>
      <c r="L252" s="622">
        <f t="shared" ref="L252:Q252" si="41">SUM(L170:L251)</f>
        <v>0</v>
      </c>
      <c r="M252" s="623">
        <f t="shared" si="41"/>
        <v>0</v>
      </c>
      <c r="N252" s="782">
        <f t="shared" si="41"/>
        <v>0</v>
      </c>
      <c r="O252" s="621">
        <f t="shared" si="41"/>
        <v>0</v>
      </c>
      <c r="P252" s="624">
        <f t="shared" si="41"/>
        <v>0</v>
      </c>
      <c r="Q252" s="166">
        <f t="shared" si="41"/>
        <v>0</v>
      </c>
    </row>
    <row r="253" spans="1:17" ht="12.75" customHeight="1" thickBot="1" x14ac:dyDescent="0.25">
      <c r="D253" s="658"/>
      <c r="E253" s="103"/>
      <c r="G253" s="259" t="s">
        <v>106</v>
      </c>
      <c r="H253" s="675"/>
      <c r="J253" s="676"/>
      <c r="K253" s="666"/>
      <c r="L253" s="878">
        <f>IF(L252-M252&gt;0,0,(L252-M252)*-1)</f>
        <v>0</v>
      </c>
      <c r="M253" s="879">
        <f>IF(L252-M252&lt;0,0,L252-M252)</f>
        <v>0</v>
      </c>
      <c r="N253" s="878">
        <f>IF(N252-O252&gt;0,0,(N252-O252)*-1)</f>
        <v>0</v>
      </c>
      <c r="O253" s="879">
        <f>IF(N252-O252&lt;0,0,N252-O252)</f>
        <v>0</v>
      </c>
      <c r="P253" s="877">
        <f>M253+O253</f>
        <v>0</v>
      </c>
      <c r="Q253" s="239">
        <f>L253+N253</f>
        <v>0</v>
      </c>
    </row>
    <row r="254" spans="1:17" ht="12.75" customHeight="1" thickTop="1" thickBot="1" x14ac:dyDescent="0.25">
      <c r="F254" s="103"/>
      <c r="G254" s="677" t="s">
        <v>40</v>
      </c>
      <c r="H254" s="678"/>
      <c r="I254" s="678"/>
      <c r="J254" s="679"/>
      <c r="K254" s="649"/>
      <c r="L254" s="783">
        <f t="shared" ref="L254:Q254" si="42">L252+L253</f>
        <v>0</v>
      </c>
      <c r="M254" s="649">
        <f t="shared" si="42"/>
        <v>0</v>
      </c>
      <c r="N254" s="651">
        <f t="shared" si="42"/>
        <v>0</v>
      </c>
      <c r="O254" s="650">
        <f t="shared" si="42"/>
        <v>0</v>
      </c>
      <c r="P254" s="651">
        <f t="shared" si="42"/>
        <v>0</v>
      </c>
      <c r="Q254" s="652">
        <f t="shared" si="42"/>
        <v>0</v>
      </c>
    </row>
    <row r="255" spans="1:17" ht="12.75" customHeight="1" thickTop="1" x14ac:dyDescent="0.2">
      <c r="A255" s="4"/>
      <c r="B255" s="4"/>
      <c r="C255" s="4"/>
      <c r="D255" s="4"/>
      <c r="E255" s="4"/>
      <c r="F255" s="4"/>
      <c r="L255" s="103" t="str">
        <f>L168</f>
        <v>固定資金</v>
      </c>
      <c r="N255" s="100" t="str">
        <f>N168</f>
        <v>運転資金</v>
      </c>
      <c r="P255" s="100" t="str">
        <f>P168</f>
        <v>財務資金</v>
      </c>
    </row>
    <row r="256" spans="1:17" ht="12.75" customHeight="1" x14ac:dyDescent="0.2">
      <c r="A256" s="4"/>
      <c r="B256" s="4"/>
      <c r="C256" s="4"/>
      <c r="D256" s="4"/>
      <c r="E256" s="4"/>
      <c r="F256" s="4"/>
      <c r="J256" s="199" t="s">
        <v>107</v>
      </c>
      <c r="K256" s="100">
        <f>J252-K252</f>
        <v>0</v>
      </c>
      <c r="L256" s="199" t="s">
        <v>107</v>
      </c>
      <c r="M256" s="100">
        <f>L254-M254</f>
        <v>0</v>
      </c>
      <c r="N256" s="199" t="s">
        <v>107</v>
      </c>
      <c r="O256" s="100">
        <f>N254-O254</f>
        <v>0</v>
      </c>
      <c r="P256" s="199" t="s">
        <v>107</v>
      </c>
      <c r="Q256" s="100">
        <f>P254-Q254</f>
        <v>0</v>
      </c>
    </row>
  </sheetData>
  <sheetProtection sheet="1" objects="1" scenarios="1" selectLockedCells="1"/>
  <mergeCells count="200">
    <mergeCell ref="N40:O40"/>
    <mergeCell ref="P40:Q40"/>
    <mergeCell ref="L168:M168"/>
    <mergeCell ref="N168:O168"/>
    <mergeCell ref="P168:Q168"/>
    <mergeCell ref="A147:C154"/>
    <mergeCell ref="A135:C143"/>
    <mergeCell ref="K147:Q163"/>
    <mergeCell ref="G160:H160"/>
    <mergeCell ref="D161:E161"/>
    <mergeCell ref="D148:E148"/>
    <mergeCell ref="G148:H148"/>
    <mergeCell ref="D149:E149"/>
    <mergeCell ref="G149:H149"/>
    <mergeCell ref="D150:E150"/>
    <mergeCell ref="G150:H150"/>
    <mergeCell ref="G142:H142"/>
    <mergeCell ref="D143:E143"/>
    <mergeCell ref="G143:H143"/>
    <mergeCell ref="D144:E144"/>
    <mergeCell ref="G144:H144"/>
    <mergeCell ref="D145:E145"/>
    <mergeCell ref="G145:H145"/>
    <mergeCell ref="G138:H138"/>
    <mergeCell ref="K19:Q35"/>
    <mergeCell ref="P1:Q1"/>
    <mergeCell ref="D163:E163"/>
    <mergeCell ref="G163:H163"/>
    <mergeCell ref="D164:E164"/>
    <mergeCell ref="D155:E155"/>
    <mergeCell ref="G155:H155"/>
    <mergeCell ref="D156:E156"/>
    <mergeCell ref="D158:E158"/>
    <mergeCell ref="L40:M40"/>
    <mergeCell ref="G161:H161"/>
    <mergeCell ref="D162:E162"/>
    <mergeCell ref="G162:H162"/>
    <mergeCell ref="P129:Q129"/>
    <mergeCell ref="G151:H151"/>
    <mergeCell ref="G158:H158"/>
    <mergeCell ref="D159:E159"/>
    <mergeCell ref="G159:H159"/>
    <mergeCell ref="D152:E152"/>
    <mergeCell ref="G152:H152"/>
    <mergeCell ref="G153:H153"/>
    <mergeCell ref="D154:E154"/>
    <mergeCell ref="G154:H154"/>
    <mergeCell ref="G147:H147"/>
    <mergeCell ref="G139:H139"/>
    <mergeCell ref="D140:E140"/>
    <mergeCell ref="G140:H140"/>
    <mergeCell ref="D141:E141"/>
    <mergeCell ref="G141:H141"/>
    <mergeCell ref="G134:I134"/>
    <mergeCell ref="D135:E135"/>
    <mergeCell ref="G135:H135"/>
    <mergeCell ref="D136:E136"/>
    <mergeCell ref="G136:H136"/>
    <mergeCell ref="D137:E137"/>
    <mergeCell ref="D134:F134"/>
    <mergeCell ref="A40:D41"/>
    <mergeCell ref="G40:G41"/>
    <mergeCell ref="H40:I40"/>
    <mergeCell ref="B96:D96"/>
    <mergeCell ref="A105:D105"/>
    <mergeCell ref="G137:H137"/>
    <mergeCell ref="D138:E138"/>
    <mergeCell ref="D35:E35"/>
    <mergeCell ref="G30:H30"/>
    <mergeCell ref="G31:H31"/>
    <mergeCell ref="G32:H32"/>
    <mergeCell ref="G33:H33"/>
    <mergeCell ref="G34:H34"/>
    <mergeCell ref="G35:H35"/>
    <mergeCell ref="D37:E37"/>
    <mergeCell ref="A30:C34"/>
    <mergeCell ref="D30:E30"/>
    <mergeCell ref="D31:E31"/>
    <mergeCell ref="D32:E32"/>
    <mergeCell ref="D33:E33"/>
    <mergeCell ref="D34:E34"/>
    <mergeCell ref="B86:C95"/>
    <mergeCell ref="C73:D73"/>
    <mergeCell ref="C82:D82"/>
    <mergeCell ref="G25:H25"/>
    <mergeCell ref="G26:H26"/>
    <mergeCell ref="G27:H27"/>
    <mergeCell ref="D28:E28"/>
    <mergeCell ref="A19:C26"/>
    <mergeCell ref="D36:E36"/>
    <mergeCell ref="D24:E24"/>
    <mergeCell ref="D25:E25"/>
    <mergeCell ref="D26:E26"/>
    <mergeCell ref="D27:E27"/>
    <mergeCell ref="G19:H19"/>
    <mergeCell ref="G20:H20"/>
    <mergeCell ref="G21:H21"/>
    <mergeCell ref="G22:H22"/>
    <mergeCell ref="G23:H23"/>
    <mergeCell ref="G24:H24"/>
    <mergeCell ref="A7:C15"/>
    <mergeCell ref="D19:E19"/>
    <mergeCell ref="D20:E20"/>
    <mergeCell ref="D21:E21"/>
    <mergeCell ref="D22:E22"/>
    <mergeCell ref="D23:E23"/>
    <mergeCell ref="G13:H13"/>
    <mergeCell ref="G14:H14"/>
    <mergeCell ref="G15:H15"/>
    <mergeCell ref="G16:H16"/>
    <mergeCell ref="D17:E17"/>
    <mergeCell ref="G17:H17"/>
    <mergeCell ref="D13:E13"/>
    <mergeCell ref="D14:E14"/>
    <mergeCell ref="D15:E15"/>
    <mergeCell ref="D16:E16"/>
    <mergeCell ref="G7:H7"/>
    <mergeCell ref="G8:H8"/>
    <mergeCell ref="G9:H9"/>
    <mergeCell ref="G10:H10"/>
    <mergeCell ref="G11:H11"/>
    <mergeCell ref="G12:H12"/>
    <mergeCell ref="H168:I168"/>
    <mergeCell ref="J168:K168"/>
    <mergeCell ref="D6:F6"/>
    <mergeCell ref="G6:I6"/>
    <mergeCell ref="D7:E7"/>
    <mergeCell ref="D8:E8"/>
    <mergeCell ref="D9:E9"/>
    <mergeCell ref="D10:E10"/>
    <mergeCell ref="D11:E11"/>
    <mergeCell ref="D12:E12"/>
    <mergeCell ref="J40:K40"/>
    <mergeCell ref="A168:D169"/>
    <mergeCell ref="G168:G169"/>
    <mergeCell ref="A114:D114"/>
    <mergeCell ref="A115:D115"/>
    <mergeCell ref="A42:A84"/>
    <mergeCell ref="C64:C71"/>
    <mergeCell ref="B63:D63"/>
    <mergeCell ref="B42:B62"/>
    <mergeCell ref="B104:D104"/>
    <mergeCell ref="B84:D84"/>
    <mergeCell ref="B64:B83"/>
    <mergeCell ref="A85:D85"/>
    <mergeCell ref="A86:A104"/>
    <mergeCell ref="A242:D242"/>
    <mergeCell ref="A243:D243"/>
    <mergeCell ref="B212:D212"/>
    <mergeCell ref="A213:D213"/>
    <mergeCell ref="A214:A232"/>
    <mergeCell ref="B214:C223"/>
    <mergeCell ref="B224:D224"/>
    <mergeCell ref="B225:C231"/>
    <mergeCell ref="B232:D232"/>
    <mergeCell ref="A170:A212"/>
    <mergeCell ref="B170:B190"/>
    <mergeCell ref="C170:C173"/>
    <mergeCell ref="C179:D179"/>
    <mergeCell ref="A233:D233"/>
    <mergeCell ref="C240:D240"/>
    <mergeCell ref="A234:B241"/>
    <mergeCell ref="C234:C238"/>
    <mergeCell ref="C239:D239"/>
    <mergeCell ref="B191:D191"/>
    <mergeCell ref="B192:B211"/>
    <mergeCell ref="C202:C209"/>
    <mergeCell ref="C210:D210"/>
    <mergeCell ref="C211:D211"/>
    <mergeCell ref="C241:D241"/>
    <mergeCell ref="B97:C103"/>
    <mergeCell ref="C74:C81"/>
    <mergeCell ref="C83:D83"/>
    <mergeCell ref="C42:C45"/>
    <mergeCell ref="C47:C50"/>
    <mergeCell ref="C46:D46"/>
    <mergeCell ref="C51:D51"/>
    <mergeCell ref="C62:D62"/>
    <mergeCell ref="C52:C61"/>
    <mergeCell ref="C72:D72"/>
    <mergeCell ref="C192:C199"/>
    <mergeCell ref="C200:D200"/>
    <mergeCell ref="C201:D201"/>
    <mergeCell ref="C111:D111"/>
    <mergeCell ref="D165:E165"/>
    <mergeCell ref="C180:C189"/>
    <mergeCell ref="C190:D190"/>
    <mergeCell ref="A106:B113"/>
    <mergeCell ref="C174:D174"/>
    <mergeCell ref="C175:C178"/>
    <mergeCell ref="D160:E160"/>
    <mergeCell ref="A158:C162"/>
    <mergeCell ref="D153:E153"/>
    <mergeCell ref="C106:C110"/>
    <mergeCell ref="D139:E139"/>
    <mergeCell ref="C112:D112"/>
    <mergeCell ref="C113:D113"/>
    <mergeCell ref="D142:E142"/>
    <mergeCell ref="D147:E147"/>
    <mergeCell ref="D151:E151"/>
  </mergeCells>
  <phoneticPr fontId="2"/>
  <conditionalFormatting sqref="F17 F28 F36:F37 I37 E124 K128 M128 O128 Q128 F145 F156 F164:F165 I165 E252 K256 M256 O256 Q256">
    <cfRule type="cellIs" dxfId="6" priority="6" stopIfTrue="1" operator="notEqual">
      <formula>0</formula>
    </cfRule>
  </conditionalFormatting>
  <pageMargins left="0.51181102362204722" right="0.23622047244094491" top="0.74803149606299213" bottom="0.74803149606299213" header="0.31496062992125984" footer="0.31496062992125984"/>
  <pageSetup paperSize="8" scale="41" fitToHeight="2" orientation="portrait" cellComments="asDisplayed" r:id="rId1"/>
  <rowBreaks count="1" manualBreakCount="1">
    <brk id="128"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I90"/>
  <sheetViews>
    <sheetView view="pageBreakPreview" topLeftCell="A64" zoomScale="75" zoomScaleNormal="85" zoomScaleSheetLayoutView="75" workbookViewId="0">
      <selection activeCell="D9" sqref="D9"/>
    </sheetView>
  </sheetViews>
  <sheetFormatPr defaultColWidth="9" defaultRowHeight="13.2" x14ac:dyDescent="0.2"/>
  <cols>
    <col min="1" max="1" width="4.6640625" style="1" customWidth="1"/>
    <col min="2" max="2" width="20.6640625" style="1" customWidth="1"/>
    <col min="3" max="3" width="10.6640625" style="17" customWidth="1"/>
    <col min="4" max="4" width="11.6640625" style="1" customWidth="1"/>
    <col min="5" max="5" width="20.6640625" style="1" customWidth="1"/>
    <col min="6" max="6" width="10.6640625" style="17" customWidth="1"/>
    <col min="7" max="7" width="11.6640625" style="1" customWidth="1"/>
    <col min="8" max="8" width="11.109375" style="1" customWidth="1"/>
    <col min="9" max="9" width="4" style="1" customWidth="1"/>
    <col min="10" max="10" width="20.6640625" style="1" customWidth="1"/>
    <col min="11" max="12" width="10.6640625" style="1" customWidth="1"/>
    <col min="13" max="13" width="20.6640625" style="1" customWidth="1"/>
    <col min="14" max="14" width="10.6640625" style="1" customWidth="1"/>
    <col min="15" max="15" width="11.6640625" style="1" customWidth="1"/>
    <col min="16" max="16384" width="9" style="4"/>
  </cols>
  <sheetData>
    <row r="1" spans="1:35" ht="16.2" x14ac:dyDescent="0.2">
      <c r="A1" s="8">
        <f>'財務諸表（入力）'!D1</f>
        <v>0</v>
      </c>
      <c r="I1" s="14"/>
      <c r="M1" s="40"/>
    </row>
    <row r="2" spans="1:35" ht="16.2" x14ac:dyDescent="0.2">
      <c r="A2" s="8"/>
      <c r="I2" s="14"/>
      <c r="M2" s="40"/>
    </row>
    <row r="3" spans="1:35" ht="22.5" customHeight="1" x14ac:dyDescent="0.2">
      <c r="A3" s="8" t="s">
        <v>444</v>
      </c>
      <c r="B3" s="36"/>
      <c r="C3" s="13"/>
      <c r="D3" s="37"/>
      <c r="E3" s="38"/>
      <c r="F3" s="32"/>
      <c r="P3" s="15"/>
      <c r="Q3" s="1"/>
      <c r="S3" s="27"/>
      <c r="T3" s="28"/>
      <c r="U3" s="28"/>
      <c r="V3" s="35"/>
      <c r="W3" s="2"/>
      <c r="X3" s="1"/>
      <c r="Y3" s="1"/>
      <c r="Z3" s="1"/>
      <c r="AA3" s="1"/>
      <c r="AB3" s="1"/>
      <c r="AC3" s="1"/>
      <c r="AD3" s="1"/>
      <c r="AE3" s="1"/>
      <c r="AF3" s="1"/>
      <c r="AG3" s="1"/>
      <c r="AH3" s="15"/>
      <c r="AI3" s="1"/>
    </row>
    <row r="4" spans="1:35" x14ac:dyDescent="0.2">
      <c r="I4" s="14"/>
      <c r="M4" s="40"/>
    </row>
    <row r="5" spans="1:35" ht="16.2" x14ac:dyDescent="0.2">
      <c r="A5" s="8" t="str">
        <f>'財務諸表（入力）'!G5</f>
        <v>前期</v>
      </c>
      <c r="I5" s="8" t="str">
        <f>'財務諸表（入力）'!J5</f>
        <v>今期</v>
      </c>
    </row>
    <row r="6" spans="1:35" ht="13.8" thickBot="1" x14ac:dyDescent="0.25">
      <c r="A6" s="14"/>
      <c r="I6" s="14"/>
    </row>
    <row r="7" spans="1:35" ht="19.5" customHeight="1" x14ac:dyDescent="0.2">
      <c r="A7" s="2069" t="s">
        <v>428</v>
      </c>
      <c r="B7" s="2033" t="s">
        <v>225</v>
      </c>
      <c r="C7" s="2034"/>
      <c r="D7" s="2034"/>
      <c r="E7" s="2035" t="s">
        <v>224</v>
      </c>
      <c r="F7" s="2034"/>
      <c r="G7" s="2036"/>
      <c r="I7" s="2069" t="s">
        <v>428</v>
      </c>
      <c r="J7" s="2033" t="s">
        <v>225</v>
      </c>
      <c r="K7" s="2034"/>
      <c r="L7" s="2034"/>
      <c r="M7" s="2035" t="s">
        <v>224</v>
      </c>
      <c r="N7" s="2034"/>
      <c r="O7" s="2036"/>
    </row>
    <row r="8" spans="1:35" ht="16.5" customHeight="1" x14ac:dyDescent="0.2">
      <c r="A8" s="2070"/>
      <c r="B8" s="41" t="s">
        <v>111</v>
      </c>
      <c r="C8" s="46" t="s">
        <v>137</v>
      </c>
      <c r="D8" s="1">
        <f>'財務諸表（入力）'!G136</f>
        <v>0</v>
      </c>
      <c r="E8" s="71" t="s">
        <v>112</v>
      </c>
      <c r="F8" s="46" t="s">
        <v>138</v>
      </c>
      <c r="G8" s="7">
        <f>'財務諸表（入力）'!G129</f>
        <v>0</v>
      </c>
      <c r="I8" s="2070"/>
      <c r="J8" s="41" t="s">
        <v>111</v>
      </c>
      <c r="K8" s="46" t="s">
        <v>137</v>
      </c>
      <c r="L8" s="1">
        <f>'財務諸表（入力）'!J136</f>
        <v>0</v>
      </c>
      <c r="M8" s="71" t="s">
        <v>112</v>
      </c>
      <c r="N8" s="46" t="s">
        <v>138</v>
      </c>
      <c r="O8" s="7">
        <f>'財務諸表（入力）'!J129</f>
        <v>0</v>
      </c>
    </row>
    <row r="9" spans="1:35" ht="16.5" customHeight="1" x14ac:dyDescent="0.2">
      <c r="A9" s="2070"/>
      <c r="B9" s="14" t="s">
        <v>204</v>
      </c>
      <c r="C9" s="47" t="s">
        <v>139</v>
      </c>
      <c r="D9" s="1">
        <f>'財務諸表（入力）'!M16</f>
        <v>0</v>
      </c>
      <c r="E9" s="68" t="str">
        <f>'財務諸表（入力）'!D54</f>
        <v>未払金</v>
      </c>
      <c r="F9" s="47" t="s">
        <v>139</v>
      </c>
      <c r="G9" s="6">
        <f>'財務諸表（入力）'!M54</f>
        <v>0</v>
      </c>
      <c r="I9" s="2070"/>
      <c r="J9" s="14" t="s">
        <v>204</v>
      </c>
      <c r="K9" s="47" t="s">
        <v>139</v>
      </c>
      <c r="L9" s="1">
        <f>'財務諸表（入力）'!N16</f>
        <v>0</v>
      </c>
      <c r="M9" s="68" t="str">
        <f>'財務諸表（入力）'!D54</f>
        <v>未払金</v>
      </c>
      <c r="N9" s="47" t="s">
        <v>139</v>
      </c>
      <c r="O9" s="6">
        <f>'財務諸表（入力）'!N54</f>
        <v>0</v>
      </c>
    </row>
    <row r="10" spans="1:35" ht="16.5" customHeight="1" x14ac:dyDescent="0.2">
      <c r="A10" s="2070"/>
      <c r="B10" s="1">
        <f>'財務諸表（入力）'!D17</f>
        <v>0</v>
      </c>
      <c r="C10" s="47" t="s">
        <v>139</v>
      </c>
      <c r="D10" s="1">
        <f>'財務諸表（入力）'!M17</f>
        <v>0</v>
      </c>
      <c r="E10" s="68" t="str">
        <f>'財務諸表（入力）'!D55</f>
        <v>未払費用</v>
      </c>
      <c r="F10" s="47" t="s">
        <v>139</v>
      </c>
      <c r="G10" s="6">
        <f>'財務諸表（入力）'!M55</f>
        <v>0</v>
      </c>
      <c r="I10" s="2070"/>
      <c r="J10" s="11">
        <f>'財務諸表（入力）'!D17</f>
        <v>0</v>
      </c>
      <c r="K10" s="47" t="s">
        <v>139</v>
      </c>
      <c r="L10" s="1">
        <f>'財務諸表（入力）'!N17</f>
        <v>0</v>
      </c>
      <c r="M10" s="68" t="str">
        <f>'財務諸表（入力）'!D55</f>
        <v>未払費用</v>
      </c>
      <c r="N10" s="47" t="s">
        <v>139</v>
      </c>
      <c r="O10" s="6">
        <f>'財務諸表（入力）'!N55</f>
        <v>0</v>
      </c>
    </row>
    <row r="11" spans="1:35" ht="16.5" customHeight="1" x14ac:dyDescent="0.2">
      <c r="A11" s="2070"/>
      <c r="B11" s="1">
        <f>'財務諸表（入力）'!D18</f>
        <v>0</v>
      </c>
      <c r="C11" s="47" t="s">
        <v>139</v>
      </c>
      <c r="D11" s="1">
        <f>'財務諸表（入力）'!M18</f>
        <v>0</v>
      </c>
      <c r="E11" s="68" t="str">
        <f>'財務諸表（入力）'!D56</f>
        <v>前受金</v>
      </c>
      <c r="F11" s="47" t="s">
        <v>139</v>
      </c>
      <c r="G11" s="6">
        <f>'財務諸表（入力）'!M56</f>
        <v>0</v>
      </c>
      <c r="I11" s="2070"/>
      <c r="J11" s="11">
        <f>'財務諸表（入力）'!D18</f>
        <v>0</v>
      </c>
      <c r="K11" s="47" t="s">
        <v>139</v>
      </c>
      <c r="L11" s="1">
        <f>'財務諸表（入力）'!N18</f>
        <v>0</v>
      </c>
      <c r="M11" s="68" t="str">
        <f>'財務諸表（入力）'!D56</f>
        <v>前受金</v>
      </c>
      <c r="N11" s="47" t="s">
        <v>139</v>
      </c>
      <c r="O11" s="6">
        <f>'財務諸表（入力）'!N56</f>
        <v>0</v>
      </c>
    </row>
    <row r="12" spans="1:35" ht="16.5" customHeight="1" x14ac:dyDescent="0.2">
      <c r="A12" s="2070"/>
      <c r="B12" s="1">
        <f>'財務諸表（入力）'!D19</f>
        <v>0</v>
      </c>
      <c r="C12" s="47" t="s">
        <v>139</v>
      </c>
      <c r="D12" s="1">
        <f>'財務諸表（入力）'!M19</f>
        <v>0</v>
      </c>
      <c r="E12" s="68" t="str">
        <f>'財務諸表（入力）'!D57</f>
        <v>預り金</v>
      </c>
      <c r="F12" s="47" t="s">
        <v>139</v>
      </c>
      <c r="G12" s="6">
        <f>'財務諸表（入力）'!M57</f>
        <v>0</v>
      </c>
      <c r="I12" s="2070"/>
      <c r="J12" s="11">
        <f>'財務諸表（入力）'!D19</f>
        <v>0</v>
      </c>
      <c r="K12" s="47" t="s">
        <v>139</v>
      </c>
      <c r="L12" s="1">
        <f>'財務諸表（入力）'!N19</f>
        <v>0</v>
      </c>
      <c r="M12" s="68" t="str">
        <f>'財務諸表（入力）'!D57</f>
        <v>預り金</v>
      </c>
      <c r="N12" s="47" t="s">
        <v>139</v>
      </c>
      <c r="O12" s="6">
        <f>'財務諸表（入力）'!N57</f>
        <v>0</v>
      </c>
    </row>
    <row r="13" spans="1:35" ht="16.5" customHeight="1" x14ac:dyDescent="0.2">
      <c r="A13" s="2070"/>
      <c r="B13" s="1">
        <f>'財務諸表（入力）'!D20</f>
        <v>0</v>
      </c>
      <c r="C13" s="47" t="s">
        <v>139</v>
      </c>
      <c r="D13" s="1">
        <f>'財務諸表（入力）'!M20</f>
        <v>0</v>
      </c>
      <c r="E13" s="66" t="str">
        <f>'財務諸表（入力）'!D60</f>
        <v>預り保証金他</v>
      </c>
      <c r="F13" s="47" t="s">
        <v>139</v>
      </c>
      <c r="G13" s="6">
        <f>'財務諸表（入力）'!M60</f>
        <v>0</v>
      </c>
      <c r="I13" s="2070"/>
      <c r="J13" s="11">
        <f>'財務諸表（入力）'!D20</f>
        <v>0</v>
      </c>
      <c r="K13" s="47" t="s">
        <v>139</v>
      </c>
      <c r="L13" s="1">
        <f>'財務諸表（入力）'!N20</f>
        <v>0</v>
      </c>
      <c r="M13" s="66" t="str">
        <f>'財務諸表（入力）'!D60</f>
        <v>預り保証金他</v>
      </c>
      <c r="N13" s="47" t="s">
        <v>139</v>
      </c>
      <c r="O13" s="6">
        <f>'財務諸表（入力）'!N60</f>
        <v>0</v>
      </c>
    </row>
    <row r="14" spans="1:35" ht="16.5" customHeight="1" x14ac:dyDescent="0.2">
      <c r="A14" s="2070"/>
      <c r="B14" s="1">
        <f>'財務諸表（入力）'!D21</f>
        <v>0</v>
      </c>
      <c r="C14" s="47" t="s">
        <v>139</v>
      </c>
      <c r="D14" s="1">
        <f>'財務諸表（入力）'!M21</f>
        <v>0</v>
      </c>
      <c r="E14" s="68"/>
      <c r="F14" s="47"/>
      <c r="G14" s="6"/>
      <c r="I14" s="2070"/>
      <c r="J14" s="11">
        <f>'財務諸表（入力）'!D21</f>
        <v>0</v>
      </c>
      <c r="K14" s="47" t="s">
        <v>139</v>
      </c>
      <c r="L14" s="1">
        <f>'財務諸表（入力）'!N21</f>
        <v>0</v>
      </c>
      <c r="M14" s="68"/>
      <c r="N14" s="47"/>
      <c r="O14" s="6"/>
    </row>
    <row r="15" spans="1:35" ht="16.5" customHeight="1" x14ac:dyDescent="0.2">
      <c r="A15" s="2070"/>
      <c r="B15" s="1">
        <f>'財務諸表（入力）'!D22</f>
        <v>0</v>
      </c>
      <c r="C15" s="47" t="s">
        <v>139</v>
      </c>
      <c r="D15" s="1">
        <f>'財務諸表（入力）'!M22</f>
        <v>0</v>
      </c>
      <c r="E15" s="72" t="s">
        <v>110</v>
      </c>
      <c r="F15" s="47" t="s">
        <v>139</v>
      </c>
      <c r="G15" s="6">
        <f>('財務諸表（入力）'!M25+'財務諸表（入力）'!M45)*-1</f>
        <v>0</v>
      </c>
      <c r="I15" s="2070"/>
      <c r="J15" s="11">
        <f>'財務諸表（入力）'!D22</f>
        <v>0</v>
      </c>
      <c r="K15" s="47" t="s">
        <v>139</v>
      </c>
      <c r="L15" s="1">
        <f>'財務諸表（入力）'!N22</f>
        <v>0</v>
      </c>
      <c r="M15" s="72" t="s">
        <v>110</v>
      </c>
      <c r="N15" s="47" t="s">
        <v>139</v>
      </c>
      <c r="O15" s="6">
        <f>('財務諸表（入力）'!N25+'財務諸表（入力）'!N45)*-1</f>
        <v>0</v>
      </c>
    </row>
    <row r="16" spans="1:35" ht="16.5" customHeight="1" x14ac:dyDescent="0.2">
      <c r="A16" s="2070"/>
      <c r="B16" s="1">
        <f>'財務諸表（入力）'!D23</f>
        <v>0</v>
      </c>
      <c r="C16" s="47" t="s">
        <v>139</v>
      </c>
      <c r="D16" s="1">
        <f>'財務諸表（入力）'!M23</f>
        <v>0</v>
      </c>
      <c r="E16" s="68"/>
      <c r="F16" s="47"/>
      <c r="G16" s="6"/>
      <c r="I16" s="2070"/>
      <c r="J16" s="11">
        <f>'財務諸表（入力）'!D23</f>
        <v>0</v>
      </c>
      <c r="K16" s="47" t="s">
        <v>139</v>
      </c>
      <c r="L16" s="1">
        <f>'財務諸表（入力）'!N23</f>
        <v>0</v>
      </c>
      <c r="M16" s="68"/>
      <c r="N16" s="47"/>
      <c r="O16" s="6"/>
    </row>
    <row r="17" spans="1:15" ht="16.5" customHeight="1" x14ac:dyDescent="0.2">
      <c r="A17" s="2070"/>
      <c r="B17" s="1">
        <f>'財務諸表（入力）'!D24</f>
        <v>0</v>
      </c>
      <c r="C17" s="58" t="s">
        <v>139</v>
      </c>
      <c r="D17" s="1">
        <f>'財務諸表（入力）'!M24</f>
        <v>0</v>
      </c>
      <c r="E17" s="72" t="s">
        <v>136</v>
      </c>
      <c r="F17" s="48" t="s">
        <v>430</v>
      </c>
      <c r="G17" s="6">
        <f>('財務諸表（入力）'!M9+'財務諸表（入力）'!M8+'財務諸表（入力）'!M83+'財務諸表（入力）'!M84)*-1</f>
        <v>0</v>
      </c>
      <c r="I17" s="2070"/>
      <c r="J17" s="11">
        <f>'財務諸表（入力）'!D24</f>
        <v>0</v>
      </c>
      <c r="K17" s="58" t="s">
        <v>139</v>
      </c>
      <c r="L17" s="1">
        <f>'財務諸表（入力）'!N24</f>
        <v>0</v>
      </c>
      <c r="M17" s="72" t="s">
        <v>136</v>
      </c>
      <c r="N17" s="48" t="s">
        <v>430</v>
      </c>
      <c r="O17" s="6">
        <f>('財務諸表（入力）'!N9+'財務諸表（入力）'!N8+'財務諸表（入力）'!N83+'財務諸表（入力）'!N84)*-1</f>
        <v>0</v>
      </c>
    </row>
    <row r="18" spans="1:15" ht="16.5" customHeight="1" x14ac:dyDescent="0.2">
      <c r="A18" s="2070"/>
      <c r="B18" s="1">
        <f>'財務諸表（入力）'!D26</f>
        <v>0</v>
      </c>
      <c r="C18" s="47" t="s">
        <v>139</v>
      </c>
      <c r="D18" s="1">
        <f>'財務諸表（入力）'!M26</f>
        <v>0</v>
      </c>
      <c r="E18" s="68"/>
      <c r="F18" s="47"/>
      <c r="G18" s="6"/>
      <c r="I18" s="2070"/>
      <c r="J18" s="11">
        <f>'財務諸表（入力）'!D26</f>
        <v>0</v>
      </c>
      <c r="K18" s="47" t="s">
        <v>139</v>
      </c>
      <c r="L18" s="1">
        <f>'財務諸表（入力）'!N26</f>
        <v>0</v>
      </c>
      <c r="M18" s="68"/>
      <c r="N18" s="47"/>
      <c r="O18" s="6"/>
    </row>
    <row r="19" spans="1:15" ht="16.5" customHeight="1" x14ac:dyDescent="0.2">
      <c r="A19" s="2070"/>
      <c r="B19" s="3">
        <f>'財務諸表（入力）'!D10</f>
        <v>0</v>
      </c>
      <c r="C19" s="47" t="s">
        <v>139</v>
      </c>
      <c r="D19" s="1">
        <f>'財務諸表（入力）'!M10</f>
        <v>0</v>
      </c>
      <c r="E19" s="68"/>
      <c r="F19" s="55"/>
      <c r="G19" s="6"/>
      <c r="I19" s="2070"/>
      <c r="J19" s="11">
        <f>'財務諸表（入力）'!D10</f>
        <v>0</v>
      </c>
      <c r="K19" s="47" t="s">
        <v>139</v>
      </c>
      <c r="L19" s="1">
        <f>'財務諸表（入力）'!N10</f>
        <v>0</v>
      </c>
      <c r="M19" s="68"/>
      <c r="N19" s="55"/>
      <c r="O19" s="6"/>
    </row>
    <row r="20" spans="1:15" ht="16.5" customHeight="1" x14ac:dyDescent="0.2">
      <c r="A20" s="2070"/>
      <c r="B20" s="14" t="s">
        <v>45</v>
      </c>
      <c r="C20" s="48" t="s">
        <v>427</v>
      </c>
      <c r="D20" s="1">
        <f>'財務諸表（入力）'!G156</f>
        <v>0</v>
      </c>
      <c r="E20" s="68"/>
      <c r="F20" s="55"/>
      <c r="G20" s="6"/>
      <c r="I20" s="2070"/>
      <c r="J20" s="14" t="s">
        <v>45</v>
      </c>
      <c r="K20" s="48" t="s">
        <v>427</v>
      </c>
      <c r="L20" s="1">
        <f>'財務諸表（入力）'!J156</f>
        <v>0</v>
      </c>
      <c r="M20" s="68"/>
      <c r="N20" s="55"/>
      <c r="O20" s="6"/>
    </row>
    <row r="21" spans="1:15" ht="16.5" customHeight="1" x14ac:dyDescent="0.2">
      <c r="A21" s="2070"/>
      <c r="B21" s="958" t="s">
        <v>140</v>
      </c>
      <c r="C21" s="959" t="s">
        <v>430</v>
      </c>
      <c r="D21" s="960">
        <f>('財務諸表（入力）'!M51+'財務諸表（入力）'!M52)*-1</f>
        <v>0</v>
      </c>
      <c r="E21" s="68"/>
      <c r="F21" s="55"/>
      <c r="G21" s="6"/>
      <c r="I21" s="2070"/>
      <c r="J21" s="958" t="s">
        <v>140</v>
      </c>
      <c r="K21" s="959" t="s">
        <v>430</v>
      </c>
      <c r="L21" s="960">
        <f>('財務諸表（入力）'!N51+'財務諸表（入力）'!N52)*-1</f>
        <v>0</v>
      </c>
      <c r="M21" s="68"/>
      <c r="N21" s="55"/>
      <c r="O21" s="6"/>
    </row>
    <row r="22" spans="1:15" ht="16.5" customHeight="1" x14ac:dyDescent="0.2">
      <c r="A22" s="2070"/>
      <c r="B22" s="961" t="s">
        <v>443</v>
      </c>
      <c r="C22" s="962" t="s">
        <v>429</v>
      </c>
      <c r="D22" s="963">
        <f>('財務諸表（入力）'!G102+'財務諸表（入力）'!G142)*-1</f>
        <v>0</v>
      </c>
      <c r="E22" s="73"/>
      <c r="F22" s="47"/>
      <c r="G22" s="6"/>
      <c r="I22" s="2070"/>
      <c r="J22" s="961" t="s">
        <v>443</v>
      </c>
      <c r="K22" s="962" t="s">
        <v>429</v>
      </c>
      <c r="L22" s="963">
        <f>('財務諸表（入力）'!J102+'財務諸表（入力）'!J142)*-1</f>
        <v>0</v>
      </c>
      <c r="M22" s="73"/>
      <c r="N22" s="47"/>
      <c r="O22" s="6"/>
    </row>
    <row r="23" spans="1:15" ht="16.5" customHeight="1" x14ac:dyDescent="0.2">
      <c r="A23" s="2070"/>
      <c r="B23" s="2043" t="s">
        <v>431</v>
      </c>
      <c r="C23" s="2044"/>
      <c r="D23" s="53">
        <f>SUM(D8:D20)+D21+D22</f>
        <v>0</v>
      </c>
      <c r="E23" s="2045" t="s">
        <v>425</v>
      </c>
      <c r="F23" s="2044"/>
      <c r="G23" s="5">
        <f>SUM(G8:G15)+G17</f>
        <v>0</v>
      </c>
      <c r="I23" s="2070"/>
      <c r="J23" s="2043" t="s">
        <v>431</v>
      </c>
      <c r="K23" s="2044"/>
      <c r="L23" s="53">
        <f>SUM(L8:L20)+L21+L22</f>
        <v>0</v>
      </c>
      <c r="M23" s="2045" t="s">
        <v>425</v>
      </c>
      <c r="N23" s="2044"/>
      <c r="O23" s="5">
        <f>SUM(O8:O15)+O17</f>
        <v>0</v>
      </c>
    </row>
    <row r="24" spans="1:15" ht="16.5" customHeight="1" x14ac:dyDescent="0.2">
      <c r="A24" s="2070"/>
      <c r="B24" s="14" t="s">
        <v>306</v>
      </c>
      <c r="C24" s="47" t="s">
        <v>137</v>
      </c>
      <c r="D24" s="1">
        <f>'財務諸表（入力）'!G163</f>
        <v>0</v>
      </c>
      <c r="E24" s="72" t="s">
        <v>50</v>
      </c>
      <c r="F24" s="47" t="s">
        <v>138</v>
      </c>
      <c r="G24" s="6">
        <f>'財務諸表（入力）'!G162</f>
        <v>0</v>
      </c>
      <c r="H24" s="42"/>
      <c r="I24" s="2070"/>
      <c r="J24" s="14" t="s">
        <v>306</v>
      </c>
      <c r="K24" s="47" t="s">
        <v>137</v>
      </c>
      <c r="L24" s="1">
        <f>'財務諸表（入力）'!J163</f>
        <v>0</v>
      </c>
      <c r="M24" s="72" t="s">
        <v>50</v>
      </c>
      <c r="N24" s="47" t="s">
        <v>138</v>
      </c>
      <c r="O24" s="6">
        <f>'財務諸表（入力）'!J162</f>
        <v>0</v>
      </c>
    </row>
    <row r="25" spans="1:15" ht="16.5" customHeight="1" x14ac:dyDescent="0.2">
      <c r="A25" s="2070"/>
      <c r="B25" s="1" t="str">
        <f>'財務諸表（入力）'!D164</f>
        <v>その他</v>
      </c>
      <c r="C25" s="47" t="s">
        <v>137</v>
      </c>
      <c r="D25" s="31">
        <f>'財務諸表（入力）'!G164</f>
        <v>0</v>
      </c>
      <c r="E25" s="68"/>
      <c r="F25" s="55"/>
      <c r="G25" s="6"/>
      <c r="I25" s="2070"/>
      <c r="J25" s="1" t="str">
        <f>'財務諸表（入力）'!D164</f>
        <v>その他</v>
      </c>
      <c r="K25" s="47" t="s">
        <v>137</v>
      </c>
      <c r="L25" s="31">
        <f>'財務諸表（入力）'!J164</f>
        <v>0</v>
      </c>
      <c r="M25" s="68"/>
      <c r="N25" s="55"/>
      <c r="O25" s="6"/>
    </row>
    <row r="26" spans="1:15" ht="16.5" customHeight="1" thickBot="1" x14ac:dyDescent="0.25">
      <c r="A26" s="2070"/>
      <c r="B26" s="2058" t="s">
        <v>114</v>
      </c>
      <c r="C26" s="2050"/>
      <c r="D26" s="61">
        <f>SUM(D24:D25)</f>
        <v>0</v>
      </c>
      <c r="E26" s="2049" t="s">
        <v>113</v>
      </c>
      <c r="F26" s="2050"/>
      <c r="G26" s="7">
        <f>SUM(G24:G25)</f>
        <v>0</v>
      </c>
      <c r="I26" s="2070"/>
      <c r="J26" s="2058" t="s">
        <v>114</v>
      </c>
      <c r="K26" s="2050"/>
      <c r="L26" s="61">
        <f>SUM(L24:L25)</f>
        <v>0</v>
      </c>
      <c r="M26" s="2049" t="s">
        <v>113</v>
      </c>
      <c r="N26" s="2050"/>
      <c r="O26" s="7">
        <f>SUM(O24:O25)</f>
        <v>0</v>
      </c>
    </row>
    <row r="27" spans="1:15" ht="22.5" customHeight="1" thickBot="1" x14ac:dyDescent="0.25">
      <c r="A27" s="2070"/>
      <c r="B27" s="2059" t="s">
        <v>432</v>
      </c>
      <c r="C27" s="2052"/>
      <c r="D27" s="76">
        <f>D23+D26</f>
        <v>0</v>
      </c>
      <c r="E27" s="2051" t="s">
        <v>433</v>
      </c>
      <c r="F27" s="2052"/>
      <c r="G27" s="33">
        <f>G23+G26</f>
        <v>0</v>
      </c>
      <c r="I27" s="2070"/>
      <c r="J27" s="2059" t="s">
        <v>432</v>
      </c>
      <c r="K27" s="2052"/>
      <c r="L27" s="76">
        <f>L23+L26</f>
        <v>0</v>
      </c>
      <c r="M27" s="2051" t="s">
        <v>433</v>
      </c>
      <c r="N27" s="2052"/>
      <c r="O27" s="33">
        <f>O23+O26</f>
        <v>0</v>
      </c>
    </row>
    <row r="28" spans="1:15" ht="22.5" customHeight="1" thickBot="1" x14ac:dyDescent="0.25">
      <c r="A28" s="2070"/>
      <c r="B28" s="2037" t="s">
        <v>115</v>
      </c>
      <c r="C28" s="2038"/>
      <c r="D28" s="75">
        <f>IF(D23+D26-G23-G26&lt;0,G23+G26-D23-D26,0)</f>
        <v>0</v>
      </c>
      <c r="E28" s="2053" t="s">
        <v>116</v>
      </c>
      <c r="F28" s="2038"/>
      <c r="G28" s="10">
        <f>IF(D23+D26-G23-G26&gt;0,D23+D26-G23-G26,0)</f>
        <v>0</v>
      </c>
      <c r="I28" s="2070"/>
      <c r="J28" s="2037" t="s">
        <v>115</v>
      </c>
      <c r="K28" s="2038"/>
      <c r="L28" s="75">
        <f>IF(L23+L26-O23-O26&lt;0,O23+O26-L23-L26,0)</f>
        <v>0</v>
      </c>
      <c r="M28" s="2053" t="s">
        <v>116</v>
      </c>
      <c r="N28" s="2038"/>
      <c r="O28" s="10">
        <f>IF(L23+L26-O23-O26&gt;0,L23+L26-O23-O26,0)</f>
        <v>0</v>
      </c>
    </row>
    <row r="29" spans="1:15" ht="22.5" customHeight="1" thickTop="1" thickBot="1" x14ac:dyDescent="0.25">
      <c r="A29" s="2071"/>
      <c r="B29" s="2039" t="s">
        <v>184</v>
      </c>
      <c r="C29" s="2040"/>
      <c r="D29" s="74">
        <f>D23+D26+D28</f>
        <v>0</v>
      </c>
      <c r="E29" s="2054" t="s">
        <v>184</v>
      </c>
      <c r="F29" s="2040"/>
      <c r="G29" s="60">
        <f>G23+G26+G28</f>
        <v>0</v>
      </c>
      <c r="I29" s="2071"/>
      <c r="J29" s="2039" t="s">
        <v>184</v>
      </c>
      <c r="K29" s="2040"/>
      <c r="L29" s="74">
        <f>L23+L26+L28</f>
        <v>0</v>
      </c>
      <c r="M29" s="2054" t="s">
        <v>184</v>
      </c>
      <c r="N29" s="2040"/>
      <c r="O29" s="60">
        <f>O23+O26+O28</f>
        <v>0</v>
      </c>
    </row>
    <row r="30" spans="1:15" ht="15" customHeight="1" x14ac:dyDescent="0.2">
      <c r="B30" s="29"/>
      <c r="C30" s="49"/>
      <c r="D30" s="29"/>
      <c r="E30" s="82" t="s">
        <v>178</v>
      </c>
      <c r="F30" s="52"/>
      <c r="G30" s="51">
        <f>G29-D29</f>
        <v>0</v>
      </c>
      <c r="J30" s="29"/>
      <c r="K30" s="29"/>
      <c r="L30" s="29"/>
      <c r="M30" s="82" t="s">
        <v>178</v>
      </c>
      <c r="N30" s="29"/>
      <c r="O30" s="51">
        <f>O29-L29</f>
        <v>0</v>
      </c>
    </row>
    <row r="31" spans="1:15" ht="13.8" thickBot="1" x14ac:dyDescent="0.25">
      <c r="E31" s="2"/>
      <c r="M31" s="2"/>
    </row>
    <row r="32" spans="1:15" ht="22.5" customHeight="1" thickBot="1" x14ac:dyDescent="0.25">
      <c r="C32" s="50"/>
      <c r="D32" s="2048" t="s">
        <v>437</v>
      </c>
      <c r="E32" s="2072"/>
      <c r="F32" s="2073"/>
      <c r="G32" s="690" t="e">
        <f>G27/D27</f>
        <v>#DIV/0!</v>
      </c>
      <c r="K32" s="44"/>
      <c r="L32" s="2048" t="s">
        <v>437</v>
      </c>
      <c r="M32" s="1521"/>
      <c r="N32" s="1561"/>
      <c r="O32" s="690" t="e">
        <f>O27/L27</f>
        <v>#DIV/0!</v>
      </c>
    </row>
    <row r="33" spans="1:15" ht="41.25" customHeight="1" thickBot="1" x14ac:dyDescent="0.25">
      <c r="C33" s="50"/>
      <c r="D33" s="56"/>
      <c r="E33" s="57"/>
      <c r="F33" s="57"/>
      <c r="G33" s="45"/>
      <c r="K33" s="44"/>
      <c r="L33" s="3"/>
    </row>
    <row r="34" spans="1:15" ht="16.5" customHeight="1" x14ac:dyDescent="0.2">
      <c r="A34" s="2055" t="s">
        <v>447</v>
      </c>
      <c r="B34" s="2033" t="s">
        <v>225</v>
      </c>
      <c r="C34" s="2034"/>
      <c r="D34" s="2034"/>
      <c r="E34" s="2035" t="s">
        <v>224</v>
      </c>
      <c r="F34" s="2034"/>
      <c r="G34" s="2036"/>
      <c r="I34" s="2055" t="s">
        <v>447</v>
      </c>
      <c r="J34" s="2033" t="s">
        <v>225</v>
      </c>
      <c r="K34" s="2034"/>
      <c r="L34" s="2034"/>
      <c r="M34" s="2035" t="s">
        <v>224</v>
      </c>
      <c r="N34" s="2034"/>
      <c r="O34" s="2036"/>
    </row>
    <row r="35" spans="1:15" ht="16.5" customHeight="1" x14ac:dyDescent="0.2">
      <c r="A35" s="2056"/>
      <c r="B35" s="43" t="s">
        <v>205</v>
      </c>
      <c r="C35" s="46" t="s">
        <v>137</v>
      </c>
      <c r="D35" s="29">
        <f>'財務諸表（入力）'!G173</f>
        <v>0</v>
      </c>
      <c r="E35" s="69" t="s">
        <v>426</v>
      </c>
      <c r="F35" s="46" t="s">
        <v>138</v>
      </c>
      <c r="G35" s="7">
        <f>'財務諸表（入力）'!G167</f>
        <v>0</v>
      </c>
      <c r="I35" s="2056"/>
      <c r="J35" s="43" t="s">
        <v>205</v>
      </c>
      <c r="K35" s="46" t="s">
        <v>137</v>
      </c>
      <c r="L35" s="29">
        <f>'財務諸表（入力）'!J173</f>
        <v>0</v>
      </c>
      <c r="M35" s="69" t="s">
        <v>426</v>
      </c>
      <c r="N35" s="46" t="s">
        <v>138</v>
      </c>
      <c r="O35" s="7">
        <f>'財務諸表（入力）'!J167</f>
        <v>0</v>
      </c>
    </row>
    <row r="36" spans="1:15" ht="16.5" customHeight="1" x14ac:dyDescent="0.2">
      <c r="A36" s="2056"/>
      <c r="B36" s="2" t="s">
        <v>206</v>
      </c>
      <c r="C36" s="47" t="s">
        <v>137</v>
      </c>
      <c r="D36" s="1">
        <f>'財務諸表（入力）'!G174</f>
        <v>0</v>
      </c>
      <c r="E36" s="66" t="s">
        <v>135</v>
      </c>
      <c r="F36" s="47" t="s">
        <v>138</v>
      </c>
      <c r="G36" s="54">
        <f>資金運用表!I9</f>
        <v>0</v>
      </c>
      <c r="I36" s="2056"/>
      <c r="J36" s="2" t="s">
        <v>206</v>
      </c>
      <c r="K36" s="47" t="s">
        <v>137</v>
      </c>
      <c r="L36" s="1">
        <f>'財務諸表（入力）'!J174</f>
        <v>0</v>
      </c>
      <c r="M36" s="66" t="s">
        <v>135</v>
      </c>
      <c r="N36" s="47" t="s">
        <v>138</v>
      </c>
      <c r="O36" s="54">
        <f>資金運用表!I137</f>
        <v>0</v>
      </c>
    </row>
    <row r="37" spans="1:15" ht="16.5" customHeight="1" x14ac:dyDescent="0.2">
      <c r="A37" s="2056"/>
      <c r="B37" s="2043" t="s">
        <v>118</v>
      </c>
      <c r="C37" s="2044"/>
      <c r="D37" s="53">
        <f>SUM(D35:D36)</f>
        <v>0</v>
      </c>
      <c r="E37" s="66" t="str">
        <f>'財務諸表（入力）'!D65</f>
        <v>リース債務</v>
      </c>
      <c r="F37" s="47" t="s">
        <v>139</v>
      </c>
      <c r="G37" s="6">
        <f>'財務諸表（入力）'!M65</f>
        <v>0</v>
      </c>
      <c r="I37" s="2056"/>
      <c r="J37" s="2043" t="s">
        <v>118</v>
      </c>
      <c r="K37" s="2044"/>
      <c r="L37" s="53">
        <f>SUM(L35:L36)</f>
        <v>0</v>
      </c>
      <c r="M37" s="66" t="str">
        <f>'財務諸表（入力）'!D65</f>
        <v>リース債務</v>
      </c>
      <c r="N37" s="47" t="s">
        <v>139</v>
      </c>
      <c r="O37" s="6">
        <f>'財務諸表（入力）'!N65</f>
        <v>0</v>
      </c>
    </row>
    <row r="38" spans="1:15" ht="16.5" customHeight="1" x14ac:dyDescent="0.2">
      <c r="A38" s="2056"/>
      <c r="B38" s="3" t="s">
        <v>104</v>
      </c>
      <c r="C38" s="47" t="s">
        <v>137</v>
      </c>
      <c r="D38" s="1">
        <f>'財務諸表（入力）'!G170</f>
        <v>0</v>
      </c>
      <c r="E38" s="67">
        <f>'財務諸表（入力）'!D66</f>
        <v>0</v>
      </c>
      <c r="F38" s="47" t="s">
        <v>139</v>
      </c>
      <c r="G38" s="6">
        <f>'財務諸表（入力）'!M66</f>
        <v>0</v>
      </c>
      <c r="I38" s="2056"/>
      <c r="J38" s="3" t="s">
        <v>104</v>
      </c>
      <c r="K38" s="47" t="s">
        <v>137</v>
      </c>
      <c r="L38" s="1">
        <f>'財務諸表（入力）'!J170</f>
        <v>0</v>
      </c>
      <c r="M38" s="67">
        <f>'財務諸表（入力）'!D66</f>
        <v>0</v>
      </c>
      <c r="N38" s="47" t="s">
        <v>139</v>
      </c>
      <c r="O38" s="6">
        <f>'財務諸表（入力）'!N66</f>
        <v>0</v>
      </c>
    </row>
    <row r="39" spans="1:15" ht="16.5" customHeight="1" x14ac:dyDescent="0.2">
      <c r="A39" s="2056"/>
      <c r="B39" s="1" t="s">
        <v>149</v>
      </c>
      <c r="C39" s="48" t="s">
        <v>430</v>
      </c>
      <c r="D39" s="1">
        <f>'財務諸表（入力）'!M58</f>
        <v>0</v>
      </c>
      <c r="E39" s="66">
        <f>'財務諸表（入力）'!D67</f>
        <v>0</v>
      </c>
      <c r="F39" s="47" t="s">
        <v>139</v>
      </c>
      <c r="G39" s="6">
        <f>'財務諸表（入力）'!M67</f>
        <v>0</v>
      </c>
      <c r="I39" s="2056"/>
      <c r="J39" s="1" t="s">
        <v>149</v>
      </c>
      <c r="K39" s="48" t="s">
        <v>430</v>
      </c>
      <c r="L39" s="1">
        <f>'財務諸表（入力）'!N58</f>
        <v>0</v>
      </c>
      <c r="M39" s="66">
        <f>'財務諸表（入力）'!D67</f>
        <v>0</v>
      </c>
      <c r="N39" s="47" t="s">
        <v>139</v>
      </c>
      <c r="O39" s="6">
        <f>'財務諸表（入力）'!N67</f>
        <v>0</v>
      </c>
    </row>
    <row r="40" spans="1:15" ht="16.5" customHeight="1" x14ac:dyDescent="0.2">
      <c r="A40" s="2056"/>
      <c r="B40" s="1" t="s">
        <v>30</v>
      </c>
      <c r="C40" s="48" t="s">
        <v>430</v>
      </c>
      <c r="D40" s="1">
        <f>'財務諸表（入力）'!M59</f>
        <v>0</v>
      </c>
      <c r="E40" s="66">
        <f>'財務諸表（入力）'!D68</f>
        <v>0</v>
      </c>
      <c r="F40" s="47" t="s">
        <v>139</v>
      </c>
      <c r="G40" s="6">
        <f>'財務諸表（入力）'!M68</f>
        <v>0</v>
      </c>
      <c r="I40" s="2056"/>
      <c r="J40" s="1" t="s">
        <v>30</v>
      </c>
      <c r="K40" s="48" t="s">
        <v>430</v>
      </c>
      <c r="L40" s="1">
        <f>'財務諸表（入力）'!N59</f>
        <v>0</v>
      </c>
      <c r="M40" s="66">
        <f>'財務諸表（入力）'!D68</f>
        <v>0</v>
      </c>
      <c r="N40" s="47" t="s">
        <v>139</v>
      </c>
      <c r="O40" s="6">
        <f>'財務諸表（入力）'!N68</f>
        <v>0</v>
      </c>
    </row>
    <row r="41" spans="1:15" ht="16.5" customHeight="1" x14ac:dyDescent="0.2">
      <c r="A41" s="2056"/>
      <c r="B41" s="2043" t="s">
        <v>120</v>
      </c>
      <c r="C41" s="2044"/>
      <c r="D41" s="53">
        <f>D38-D39-D40</f>
        <v>0</v>
      </c>
      <c r="E41" s="2045" t="s">
        <v>119</v>
      </c>
      <c r="F41" s="2044"/>
      <c r="G41" s="5">
        <f>SUM(G35:G40)</f>
        <v>0</v>
      </c>
      <c r="I41" s="2056"/>
      <c r="J41" s="2043" t="s">
        <v>120</v>
      </c>
      <c r="K41" s="2044"/>
      <c r="L41" s="53">
        <f>L38-L39-L40</f>
        <v>0</v>
      </c>
      <c r="M41" s="2045" t="s">
        <v>119</v>
      </c>
      <c r="N41" s="2044"/>
      <c r="O41" s="5">
        <f>SUM(O35:O40)</f>
        <v>0</v>
      </c>
    </row>
    <row r="42" spans="1:15" ht="16.5" customHeight="1" x14ac:dyDescent="0.2">
      <c r="A42" s="2056"/>
      <c r="B42" s="11" t="s">
        <v>160</v>
      </c>
      <c r="C42" s="47" t="s">
        <v>139</v>
      </c>
      <c r="D42" s="1">
        <f>'財務諸表（入力）'!M37+'財務諸表（入力）'!G182</f>
        <v>0</v>
      </c>
      <c r="E42" s="68"/>
      <c r="F42" s="55"/>
      <c r="G42" s="7"/>
      <c r="I42" s="2056"/>
      <c r="J42" s="11" t="s">
        <v>160</v>
      </c>
      <c r="K42" s="47" t="s">
        <v>139</v>
      </c>
      <c r="L42" s="1">
        <f>'財務諸表（入力）'!N37+'財務諸表（入力）'!J182</f>
        <v>0</v>
      </c>
      <c r="M42" s="68"/>
      <c r="N42" s="55"/>
      <c r="O42" s="7"/>
    </row>
    <row r="43" spans="1:15" ht="16.5" customHeight="1" x14ac:dyDescent="0.2">
      <c r="A43" s="2056"/>
      <c r="B43" s="11" t="s">
        <v>440</v>
      </c>
      <c r="C43" s="47" t="s">
        <v>139</v>
      </c>
      <c r="D43" s="1">
        <f>SUM('財務諸表（入力）'!M39:M44)+'財務諸表（入力）'!M46</f>
        <v>0</v>
      </c>
      <c r="E43" s="70"/>
      <c r="F43" s="55"/>
      <c r="G43" s="6"/>
      <c r="I43" s="2056"/>
      <c r="J43" s="11" t="s">
        <v>440</v>
      </c>
      <c r="K43" s="47" t="s">
        <v>139</v>
      </c>
      <c r="L43" s="1">
        <f>SUM('財務諸表（入力）'!N39:N44)+'財務諸表（入力）'!N46</f>
        <v>0</v>
      </c>
      <c r="M43" s="70"/>
      <c r="N43" s="55"/>
      <c r="O43" s="6"/>
    </row>
    <row r="44" spans="1:15" ht="16.5" customHeight="1" x14ac:dyDescent="0.2">
      <c r="A44" s="2056"/>
      <c r="B44" s="11" t="s">
        <v>387</v>
      </c>
      <c r="C44" s="47" t="s">
        <v>139</v>
      </c>
      <c r="D44" s="1">
        <f>'財務諸表（入力）'!M38</f>
        <v>0</v>
      </c>
      <c r="E44" s="68"/>
      <c r="F44" s="55"/>
      <c r="G44" s="6"/>
      <c r="I44" s="2056"/>
      <c r="J44" s="11" t="s">
        <v>387</v>
      </c>
      <c r="K44" s="47" t="s">
        <v>139</v>
      </c>
      <c r="L44" s="1">
        <f>'財務諸表（入力）'!N38</f>
        <v>0</v>
      </c>
      <c r="M44" s="68"/>
      <c r="N44" s="55"/>
      <c r="O44" s="6"/>
    </row>
    <row r="45" spans="1:15" ht="16.5" customHeight="1" x14ac:dyDescent="0.2">
      <c r="A45" s="2056"/>
      <c r="B45" s="2" t="s">
        <v>441</v>
      </c>
      <c r="C45" s="47" t="s">
        <v>139</v>
      </c>
      <c r="D45" s="1">
        <f>'財務諸表（入力）'!M48</f>
        <v>0</v>
      </c>
      <c r="E45" s="68"/>
      <c r="F45" s="55"/>
      <c r="G45" s="6"/>
      <c r="I45" s="2056"/>
      <c r="J45" s="2" t="s">
        <v>441</v>
      </c>
      <c r="K45" s="47" t="s">
        <v>139</v>
      </c>
      <c r="L45" s="1">
        <f>'財務諸表（入力）'!N48</f>
        <v>0</v>
      </c>
      <c r="M45" s="68"/>
      <c r="N45" s="55"/>
      <c r="O45" s="6"/>
    </row>
    <row r="46" spans="1:15" ht="16.5" customHeight="1" x14ac:dyDescent="0.2">
      <c r="A46" s="2056"/>
      <c r="B46" s="2043" t="s">
        <v>121</v>
      </c>
      <c r="C46" s="2044"/>
      <c r="D46" s="53">
        <f>SUM(D42:D45)</f>
        <v>0</v>
      </c>
      <c r="E46" s="68"/>
      <c r="F46" s="55"/>
      <c r="G46" s="6"/>
      <c r="I46" s="2056"/>
      <c r="J46" s="2043" t="s">
        <v>121</v>
      </c>
      <c r="K46" s="2044"/>
      <c r="L46" s="53">
        <f>SUM(L42:L45)</f>
        <v>0</v>
      </c>
      <c r="M46" s="68"/>
      <c r="N46" s="55"/>
      <c r="O46" s="6"/>
    </row>
    <row r="47" spans="1:15" ht="16.5" customHeight="1" x14ac:dyDescent="0.2">
      <c r="A47" s="2056"/>
      <c r="B47" s="2" t="s">
        <v>442</v>
      </c>
      <c r="C47" s="47" t="s">
        <v>137</v>
      </c>
      <c r="D47" s="1">
        <f>'財務諸表（入力）'!G168</f>
        <v>0</v>
      </c>
      <c r="E47" s="68"/>
      <c r="F47" s="55"/>
      <c r="G47" s="6"/>
      <c r="I47" s="2056"/>
      <c r="J47" s="2" t="s">
        <v>442</v>
      </c>
      <c r="K47" s="47" t="s">
        <v>137</v>
      </c>
      <c r="L47" s="1">
        <f>'財務諸表（入力）'!J168</f>
        <v>0</v>
      </c>
      <c r="M47" s="68"/>
      <c r="N47" s="55"/>
      <c r="O47" s="6"/>
    </row>
    <row r="48" spans="1:15" ht="16.5" customHeight="1" thickBot="1" x14ac:dyDescent="0.25">
      <c r="A48" s="2056"/>
      <c r="B48" s="2058" t="s">
        <v>122</v>
      </c>
      <c r="C48" s="2050"/>
      <c r="D48" s="61">
        <f>D47</f>
        <v>0</v>
      </c>
      <c r="E48" s="68"/>
      <c r="F48" s="55"/>
      <c r="G48" s="6"/>
      <c r="I48" s="2056"/>
      <c r="J48" s="2058" t="s">
        <v>122</v>
      </c>
      <c r="K48" s="2050"/>
      <c r="L48" s="61">
        <f>L47</f>
        <v>0</v>
      </c>
      <c r="M48" s="68"/>
      <c r="N48" s="55"/>
      <c r="O48" s="6"/>
    </row>
    <row r="49" spans="1:15" ht="22.5" customHeight="1" thickBot="1" x14ac:dyDescent="0.25">
      <c r="A49" s="2056"/>
      <c r="B49" s="2041" t="s">
        <v>434</v>
      </c>
      <c r="C49" s="2042"/>
      <c r="D49" s="76">
        <f>D37+D41+D46+D48</f>
        <v>0</v>
      </c>
      <c r="E49" s="2046" t="s">
        <v>435</v>
      </c>
      <c r="F49" s="2047"/>
      <c r="G49" s="33">
        <f>G41</f>
        <v>0</v>
      </c>
      <c r="I49" s="2056"/>
      <c r="J49" s="2041" t="s">
        <v>434</v>
      </c>
      <c r="K49" s="2042"/>
      <c r="L49" s="76">
        <f>L37+L41+L46+L48</f>
        <v>0</v>
      </c>
      <c r="M49" s="2046" t="s">
        <v>435</v>
      </c>
      <c r="N49" s="2047"/>
      <c r="O49" s="33">
        <f>O41</f>
        <v>0</v>
      </c>
    </row>
    <row r="50" spans="1:15" ht="22.5" customHeight="1" x14ac:dyDescent="0.2">
      <c r="A50" s="2056"/>
      <c r="B50" s="77" t="s">
        <v>123</v>
      </c>
      <c r="C50" s="78"/>
      <c r="D50" s="62">
        <f>IF(D37+D41+D46+D48-G41&lt;0,G41-D37-D41-D46-D48,0)</f>
        <v>0</v>
      </c>
      <c r="E50" s="79" t="s">
        <v>124</v>
      </c>
      <c r="F50" s="78"/>
      <c r="G50" s="60">
        <f>IF(D37+D41+D46+D48-G41&gt;0,D37+D41+D46+D48-G41,0)</f>
        <v>0</v>
      </c>
      <c r="I50" s="2056"/>
      <c r="J50" s="77" t="s">
        <v>123</v>
      </c>
      <c r="K50" s="78"/>
      <c r="L50" s="62">
        <f>IF(L37+L41+L46+L48-O41&lt;0,O41-L37-L41-L46-L48,0)</f>
        <v>0</v>
      </c>
      <c r="M50" s="79" t="s">
        <v>124</v>
      </c>
      <c r="N50" s="78"/>
      <c r="O50" s="60">
        <f>IF(L37+L41+L46+L48-O41&gt;0,L37+L41+L46+L48-O41,0)</f>
        <v>0</v>
      </c>
    </row>
    <row r="51" spans="1:15" ht="22.5" customHeight="1" thickBot="1" x14ac:dyDescent="0.25">
      <c r="A51" s="2057"/>
      <c r="B51" s="2043" t="s">
        <v>436</v>
      </c>
      <c r="C51" s="2044"/>
      <c r="D51" s="63">
        <f>D37+D41+D46+D48+D50</f>
        <v>0</v>
      </c>
      <c r="E51" s="2045" t="s">
        <v>436</v>
      </c>
      <c r="F51" s="2044"/>
      <c r="G51" s="5">
        <f>G41+G50</f>
        <v>0</v>
      </c>
      <c r="I51" s="2057"/>
      <c r="J51" s="2043" t="s">
        <v>436</v>
      </c>
      <c r="K51" s="2044"/>
      <c r="L51" s="63">
        <f>L37+L41+L46+L48+L50</f>
        <v>0</v>
      </c>
      <c r="M51" s="2045" t="s">
        <v>436</v>
      </c>
      <c r="N51" s="2044"/>
      <c r="O51" s="5">
        <f>O41+O50</f>
        <v>0</v>
      </c>
    </row>
    <row r="52" spans="1:15" ht="15" customHeight="1" x14ac:dyDescent="0.2">
      <c r="B52" s="29"/>
      <c r="C52" s="49"/>
      <c r="D52" s="29"/>
      <c r="E52" s="82" t="s">
        <v>178</v>
      </c>
      <c r="F52" s="52"/>
      <c r="G52" s="51">
        <f>G51-D51</f>
        <v>0</v>
      </c>
      <c r="J52" s="29"/>
      <c r="K52" s="29"/>
      <c r="L52" s="29"/>
      <c r="M52" s="82" t="s">
        <v>178</v>
      </c>
      <c r="N52" s="51"/>
      <c r="O52" s="51">
        <f>O51-L51</f>
        <v>0</v>
      </c>
    </row>
    <row r="53" spans="1:15" ht="13.8" thickBot="1" x14ac:dyDescent="0.25"/>
    <row r="54" spans="1:15" ht="16.5" customHeight="1" x14ac:dyDescent="0.2">
      <c r="A54" s="2055" t="s">
        <v>448</v>
      </c>
      <c r="B54" s="2033" t="s">
        <v>225</v>
      </c>
      <c r="C54" s="2034"/>
      <c r="D54" s="2034"/>
      <c r="E54" s="2035" t="s">
        <v>224</v>
      </c>
      <c r="F54" s="2034"/>
      <c r="G54" s="2036"/>
      <c r="I54" s="2055" t="s">
        <v>448</v>
      </c>
      <c r="J54" s="2033" t="s">
        <v>225</v>
      </c>
      <c r="K54" s="2034"/>
      <c r="L54" s="2034"/>
      <c r="M54" s="2035" t="s">
        <v>224</v>
      </c>
      <c r="N54" s="2034"/>
      <c r="O54" s="2036"/>
    </row>
    <row r="55" spans="1:15" ht="22.5" customHeight="1" x14ac:dyDescent="0.2">
      <c r="A55" s="2056"/>
      <c r="B55" s="681" t="s">
        <v>143</v>
      </c>
      <c r="C55" s="46" t="s">
        <v>144</v>
      </c>
      <c r="D55" s="30">
        <f>G28</f>
        <v>0</v>
      </c>
      <c r="E55" s="64" t="s">
        <v>145</v>
      </c>
      <c r="F55" s="46" t="s">
        <v>144</v>
      </c>
      <c r="G55" s="87">
        <f>D28</f>
        <v>0</v>
      </c>
      <c r="I55" s="2056"/>
      <c r="J55" s="681" t="s">
        <v>143</v>
      </c>
      <c r="K55" s="46" t="s">
        <v>144</v>
      </c>
      <c r="L55" s="7">
        <f>O28</f>
        <v>0</v>
      </c>
      <c r="M55" s="64" t="s">
        <v>145</v>
      </c>
      <c r="N55" s="46" t="s">
        <v>144</v>
      </c>
      <c r="O55" s="87">
        <f>L28</f>
        <v>0</v>
      </c>
    </row>
    <row r="56" spans="1:15" ht="22.5" customHeight="1" thickBot="1" x14ac:dyDescent="0.25">
      <c r="A56" s="2056"/>
      <c r="B56" s="682" t="s">
        <v>146</v>
      </c>
      <c r="C56" s="83" t="s">
        <v>144</v>
      </c>
      <c r="D56" s="88">
        <f>G50</f>
        <v>0</v>
      </c>
      <c r="E56" s="84" t="s">
        <v>147</v>
      </c>
      <c r="F56" s="83" t="s">
        <v>144</v>
      </c>
      <c r="G56" s="89">
        <f>D50</f>
        <v>0</v>
      </c>
      <c r="I56" s="2056"/>
      <c r="J56" s="86" t="s">
        <v>146</v>
      </c>
      <c r="K56" s="59" t="s">
        <v>144</v>
      </c>
      <c r="L56" s="60">
        <f>O50</f>
        <v>0</v>
      </c>
      <c r="M56" s="65" t="s">
        <v>147</v>
      </c>
      <c r="N56" s="59" t="s">
        <v>144</v>
      </c>
      <c r="O56" s="95">
        <f>L50</f>
        <v>0</v>
      </c>
    </row>
    <row r="57" spans="1:15" ht="16.5" customHeight="1" thickTop="1" x14ac:dyDescent="0.2">
      <c r="A57" s="2056"/>
      <c r="B57" s="2" t="s">
        <v>468</v>
      </c>
      <c r="C57" s="47" t="s">
        <v>148</v>
      </c>
      <c r="D57" s="90">
        <f>IF('財務諸表（入力）'!M62+'財務諸表（入力）'!M63&lt;0,('財務諸表（入力）'!M62+'財務諸表（入力）'!M63)*-1,0)</f>
        <v>0</v>
      </c>
      <c r="E57" s="882" t="s">
        <v>468</v>
      </c>
      <c r="F57" s="91" t="s">
        <v>139</v>
      </c>
      <c r="G57" s="92">
        <f>IF('財務諸表（入力）'!M62+'財務諸表（入力）'!M63&gt;0,('財務諸表（入力）'!M62+'財務諸表（入力）'!M63),0)</f>
        <v>0</v>
      </c>
      <c r="I57" s="2056"/>
      <c r="J57" s="2" t="s">
        <v>468</v>
      </c>
      <c r="K57" s="47" t="s">
        <v>148</v>
      </c>
      <c r="L57" s="7">
        <f>IF('財務諸表（入力）'!N62+'財務諸表（入力）'!N63&lt;0,('財務諸表（入力）'!N62+'財務諸表（入力）'!N63)*-1,0)</f>
        <v>0</v>
      </c>
      <c r="M57" s="96" t="s">
        <v>468</v>
      </c>
      <c r="N57" s="46" t="s">
        <v>139</v>
      </c>
      <c r="O57" s="87">
        <f>IF('財務諸表（入力）'!N62+'財務諸表（入力）'!N63&gt;0,('財務諸表（入力）'!N62+'財務諸表（入力）'!N63),0)</f>
        <v>0</v>
      </c>
    </row>
    <row r="58" spans="1:15" ht="16.5" customHeight="1" x14ac:dyDescent="0.2">
      <c r="A58" s="2056"/>
      <c r="B58" s="2" t="s">
        <v>438</v>
      </c>
      <c r="C58" s="47" t="s">
        <v>148</v>
      </c>
      <c r="D58" s="31">
        <f>IF('財務諸表（入力）'!M53&lt;0,'財務諸表（入力）'!M53*-1,0)</f>
        <v>0</v>
      </c>
      <c r="E58" s="66" t="s">
        <v>438</v>
      </c>
      <c r="F58" s="47" t="s">
        <v>139</v>
      </c>
      <c r="G58" s="93">
        <f>IF('財務諸表（入力）'!M53&gt;0,'財務諸表（入力）'!M53,0)</f>
        <v>0</v>
      </c>
      <c r="I58" s="2056"/>
      <c r="J58" s="2" t="s">
        <v>438</v>
      </c>
      <c r="K58" s="47" t="s">
        <v>148</v>
      </c>
      <c r="L58" s="6">
        <f>IF('財務諸表（入力）'!N53&lt;0,'財務諸表（入力）'!N53*-1,0)</f>
        <v>0</v>
      </c>
      <c r="M58" s="66" t="s">
        <v>438</v>
      </c>
      <c r="N58" s="47" t="s">
        <v>139</v>
      </c>
      <c r="O58" s="93">
        <f>IF('財務諸表（入力）'!N53&gt;0,'財務諸表（入力）'!N53,0)</f>
        <v>0</v>
      </c>
    </row>
    <row r="59" spans="1:15" ht="16.5" customHeight="1" x14ac:dyDescent="0.2">
      <c r="A59" s="2056"/>
      <c r="B59" s="11" t="s">
        <v>399</v>
      </c>
      <c r="C59" s="47" t="s">
        <v>148</v>
      </c>
      <c r="D59" s="31">
        <f>IF('財務諸表（入力）'!M83+'財務諸表（入力）'!M84&lt;0,('財務諸表（入力）'!M83+'財務諸表（入力）'!M84)*-1,0)</f>
        <v>0</v>
      </c>
      <c r="E59" s="67" t="s">
        <v>399</v>
      </c>
      <c r="F59" s="47" t="s">
        <v>139</v>
      </c>
      <c r="G59" s="93">
        <f>IF('財務諸表（入力）'!M83+'財務諸表（入力）'!M84&gt;0,'財務諸表（入力）'!M83+'財務諸表（入力）'!M84,0)</f>
        <v>0</v>
      </c>
      <c r="I59" s="2056"/>
      <c r="J59" s="11" t="s">
        <v>399</v>
      </c>
      <c r="K59" s="47" t="s">
        <v>148</v>
      </c>
      <c r="L59" s="6">
        <f>IF('財務諸表（入力）'!N83+'財務諸表（入力）'!N84&lt;0,('財務諸表（入力）'!N83+'財務諸表（入力）'!N84)*-1,0)</f>
        <v>0</v>
      </c>
      <c r="M59" s="67" t="s">
        <v>399</v>
      </c>
      <c r="N59" s="47" t="s">
        <v>139</v>
      </c>
      <c r="O59" s="93">
        <f>IF('財務諸表（入力）'!N83+'財務諸表（入力）'!N84&gt;0,'財務諸表（入力）'!N83+'財務諸表（入力）'!N84,0)</f>
        <v>0</v>
      </c>
    </row>
    <row r="60" spans="1:15" ht="16.5" customHeight="1" x14ac:dyDescent="0.2">
      <c r="A60" s="2056"/>
      <c r="B60" s="683" t="s">
        <v>439</v>
      </c>
      <c r="C60" s="59" t="s">
        <v>148</v>
      </c>
      <c r="D60" s="94">
        <f>IF('財務諸表（入力）'!M64&lt;0,'財務諸表（入力）'!M64*-1,0)</f>
        <v>0</v>
      </c>
      <c r="E60" s="81" t="s">
        <v>439</v>
      </c>
      <c r="F60" s="59" t="s">
        <v>139</v>
      </c>
      <c r="G60" s="95">
        <f>IF('財務諸表（入力）'!M64&gt;0,'財務諸表（入力）'!M64,0)</f>
        <v>0</v>
      </c>
      <c r="I60" s="2056"/>
      <c r="J60" s="683" t="s">
        <v>439</v>
      </c>
      <c r="K60" s="59" t="s">
        <v>148</v>
      </c>
      <c r="L60" s="60">
        <f>IF('財務諸表（入力）'!N64&lt;0,'財務諸表（入力）'!N64*-1,0)</f>
        <v>0</v>
      </c>
      <c r="M60" s="81" t="s">
        <v>439</v>
      </c>
      <c r="N60" s="59" t="s">
        <v>139</v>
      </c>
      <c r="O60" s="95">
        <f>IF('財務諸表（入力）'!N64&gt;0,'財務諸表（入力）'!N64,0)</f>
        <v>0</v>
      </c>
    </row>
    <row r="61" spans="1:15" ht="22.5" customHeight="1" x14ac:dyDescent="0.2">
      <c r="A61" s="2056"/>
      <c r="B61" s="2" t="s">
        <v>292</v>
      </c>
      <c r="C61" s="47" t="s">
        <v>139</v>
      </c>
      <c r="D61" s="87">
        <f>IF('財務諸表（入力）'!M6&gt;0,'財務諸表（入力）'!M6,0)</f>
        <v>0</v>
      </c>
      <c r="E61" s="66" t="s">
        <v>292</v>
      </c>
      <c r="F61" s="47" t="s">
        <v>148</v>
      </c>
      <c r="G61" s="87">
        <f>IF('財務諸表（入力）'!M6&lt;0,'財務諸表（入力）'!M6*-1,0)</f>
        <v>0</v>
      </c>
      <c r="I61" s="2056"/>
      <c r="J61" s="2" t="s">
        <v>292</v>
      </c>
      <c r="K61" s="47" t="s">
        <v>139</v>
      </c>
      <c r="L61" s="87">
        <f>IF('財務諸表（入力）'!N6&gt;0,'財務諸表（入力）'!N6,0)</f>
        <v>0</v>
      </c>
      <c r="M61" s="66" t="s">
        <v>292</v>
      </c>
      <c r="N61" s="47" t="s">
        <v>148</v>
      </c>
      <c r="O61" s="87">
        <f>IF('財務諸表（入力）'!N6&lt;0,'財務諸表（入力）'!N6*-1,0)</f>
        <v>0</v>
      </c>
    </row>
    <row r="62" spans="1:15" ht="22.5" customHeight="1" thickBot="1" x14ac:dyDescent="0.25">
      <c r="A62" s="2057"/>
      <c r="B62" s="2043" t="s">
        <v>436</v>
      </c>
      <c r="C62" s="2044"/>
      <c r="D62" s="53">
        <f>SUM(D55:D61)</f>
        <v>0</v>
      </c>
      <c r="E62" s="2045" t="s">
        <v>436</v>
      </c>
      <c r="F62" s="2044"/>
      <c r="G62" s="80">
        <f>SUM(G55:G61)</f>
        <v>0</v>
      </c>
      <c r="I62" s="2057"/>
      <c r="J62" s="2043" t="s">
        <v>436</v>
      </c>
      <c r="K62" s="2044"/>
      <c r="L62" s="53">
        <f>SUM(L55:L61)</f>
        <v>0</v>
      </c>
      <c r="M62" s="2045" t="s">
        <v>436</v>
      </c>
      <c r="N62" s="2044"/>
      <c r="O62" s="80">
        <f>SUM(O55:O61)</f>
        <v>0</v>
      </c>
    </row>
    <row r="63" spans="1:15" x14ac:dyDescent="0.2">
      <c r="B63" s="29"/>
      <c r="C63" s="49"/>
      <c r="D63" s="29"/>
      <c r="E63" s="82" t="s">
        <v>178</v>
      </c>
      <c r="F63" s="52"/>
      <c r="G63" s="51">
        <f>G62-D62</f>
        <v>0</v>
      </c>
      <c r="J63" s="29"/>
      <c r="K63" s="49"/>
      <c r="L63" s="29"/>
      <c r="M63" s="82" t="s">
        <v>178</v>
      </c>
      <c r="N63" s="52"/>
      <c r="O63" s="51">
        <f>O62-L62</f>
        <v>0</v>
      </c>
    </row>
    <row r="64" spans="1:15" ht="41.25" customHeight="1" x14ac:dyDescent="0.2">
      <c r="E64" s="2"/>
      <c r="M64" s="2"/>
    </row>
    <row r="65" spans="1:15" ht="16.5" customHeight="1" x14ac:dyDescent="0.2">
      <c r="A65" s="3"/>
      <c r="B65" s="16" t="s">
        <v>446</v>
      </c>
      <c r="E65" s="16" t="s">
        <v>449</v>
      </c>
      <c r="I65" s="3"/>
      <c r="J65" s="16" t="s">
        <v>446</v>
      </c>
      <c r="K65" s="17"/>
      <c r="M65" s="16" t="s">
        <v>449</v>
      </c>
      <c r="N65" s="17"/>
    </row>
    <row r="66" spans="1:15" ht="16.5" customHeight="1" x14ac:dyDescent="0.2">
      <c r="B66" s="684" t="s">
        <v>125</v>
      </c>
      <c r="C66" s="930">
        <f>'財務諸表（入力）'!E6</f>
        <v>0</v>
      </c>
      <c r="D66" s="4"/>
      <c r="E66" s="34" t="s">
        <v>126</v>
      </c>
      <c r="F66" s="1">
        <f>(G23+G26)-(D23+D26)</f>
        <v>0</v>
      </c>
      <c r="G66" s="4"/>
      <c r="J66" s="684" t="s">
        <v>125</v>
      </c>
      <c r="K66" s="930">
        <f>'財務諸表（入力）'!G6</f>
        <v>0</v>
      </c>
      <c r="L66" s="4"/>
      <c r="M66" s="34" t="s">
        <v>126</v>
      </c>
      <c r="N66" s="1">
        <f>(O23+O26)-(L23+L26)</f>
        <v>0</v>
      </c>
      <c r="O66"/>
    </row>
    <row r="67" spans="1:15" ht="16.5" customHeight="1" x14ac:dyDescent="0.2">
      <c r="B67" s="18" t="s">
        <v>127</v>
      </c>
      <c r="C67" s="931">
        <f>G23+G26+G41+G57+G58+G59+G60</f>
        <v>0</v>
      </c>
      <c r="D67" s="4"/>
      <c r="E67" s="34" t="s">
        <v>128</v>
      </c>
      <c r="F67" s="1">
        <f>G41-D37-D41-D46-D48</f>
        <v>0</v>
      </c>
      <c r="G67" s="4"/>
      <c r="J67" s="18" t="s">
        <v>127</v>
      </c>
      <c r="K67" s="931">
        <f>O23+O26+O41+O57+O58+O59+O60</f>
        <v>0</v>
      </c>
      <c r="L67" s="4"/>
      <c r="M67" s="34" t="s">
        <v>128</v>
      </c>
      <c r="N67" s="1">
        <f>O41-L37-L41-L46-L48</f>
        <v>0</v>
      </c>
      <c r="O67"/>
    </row>
    <row r="68" spans="1:15" ht="16.5" customHeight="1" x14ac:dyDescent="0.2">
      <c r="B68" s="85" t="s">
        <v>129</v>
      </c>
      <c r="C68" s="929">
        <f>D23+D26+D37+D41+D46+D48+D57+D58+D59+D60</f>
        <v>0</v>
      </c>
      <c r="D68" s="4"/>
      <c r="E68" s="34" t="s">
        <v>130</v>
      </c>
      <c r="F68" s="1">
        <f>(G57+G58+G59+G60)-(D57+D58+D59+D60)</f>
        <v>0</v>
      </c>
      <c r="G68" s="4"/>
      <c r="J68" s="85" t="s">
        <v>129</v>
      </c>
      <c r="K68" s="929">
        <f>L23+L26+L37+L41+L46+L48+L57+L58+L59+L60</f>
        <v>0</v>
      </c>
      <c r="L68" s="4"/>
      <c r="M68" s="34" t="s">
        <v>130</v>
      </c>
      <c r="N68" s="1">
        <f>(O57+O58+O59+O60)-(L57+L58+L59+L60)</f>
        <v>0</v>
      </c>
      <c r="O68"/>
    </row>
    <row r="69" spans="1:15" ht="16.5" customHeight="1" thickBot="1" x14ac:dyDescent="0.25">
      <c r="B69" s="687" t="s">
        <v>117</v>
      </c>
      <c r="C69" s="932">
        <f>C67-C68</f>
        <v>0</v>
      </c>
      <c r="D69" s="4"/>
      <c r="E69" s="17"/>
      <c r="F69" s="692">
        <f>SUM(F66:F68)</f>
        <v>0</v>
      </c>
      <c r="G69" s="4"/>
      <c r="J69" s="687" t="s">
        <v>117</v>
      </c>
      <c r="K69" s="932">
        <f>K67-K68</f>
        <v>0</v>
      </c>
      <c r="L69" s="4"/>
      <c r="M69" s="17"/>
      <c r="N69" s="692">
        <f>SUM(N66:N68)</f>
        <v>0</v>
      </c>
      <c r="O69"/>
    </row>
    <row r="70" spans="1:15" ht="16.5" customHeight="1" thickTop="1" x14ac:dyDescent="0.2">
      <c r="B70" s="686" t="s">
        <v>445</v>
      </c>
      <c r="C70" s="933">
        <f>C66+C69</f>
        <v>0</v>
      </c>
      <c r="D70" s="4"/>
      <c r="E70" s="3"/>
      <c r="J70" s="686" t="s">
        <v>445</v>
      </c>
      <c r="K70" s="933">
        <f>K66+K69</f>
        <v>0</v>
      </c>
      <c r="L70" s="4"/>
    </row>
    <row r="71" spans="1:15" ht="16.5" customHeight="1" x14ac:dyDescent="0.2">
      <c r="B71" s="685"/>
      <c r="C71" s="934"/>
      <c r="D71" s="4"/>
      <c r="E71" s="3"/>
      <c r="J71" s="685"/>
      <c r="K71" s="934"/>
      <c r="L71" s="4"/>
    </row>
    <row r="72" spans="1:15" ht="16.5" customHeight="1" x14ac:dyDescent="0.2">
      <c r="A72" s="4"/>
      <c r="B72" s="684" t="s">
        <v>131</v>
      </c>
      <c r="C72" s="930">
        <f>資金運用表!F42</f>
        <v>0</v>
      </c>
      <c r="D72" s="4"/>
      <c r="J72" s="684" t="s">
        <v>131</v>
      </c>
      <c r="K72" s="930">
        <f>'財務諸表（入力）'!J6</f>
        <v>0</v>
      </c>
      <c r="L72" s="4"/>
    </row>
    <row r="73" spans="1:15" ht="16.5" customHeight="1" x14ac:dyDescent="0.2">
      <c r="A73" s="4"/>
      <c r="B73" s="688" t="s">
        <v>132</v>
      </c>
      <c r="C73" s="689">
        <f>C70-C72</f>
        <v>0</v>
      </c>
      <c r="D73" s="4"/>
      <c r="J73" s="688" t="s">
        <v>132</v>
      </c>
      <c r="K73" s="689">
        <f>K70-K72</f>
        <v>0</v>
      </c>
      <c r="L73" s="4"/>
    </row>
    <row r="74" spans="1:15" x14ac:dyDescent="0.2">
      <c r="A74" s="4"/>
      <c r="C74" s="34"/>
      <c r="D74" s="12"/>
      <c r="E74" s="3"/>
      <c r="K74" s="3"/>
      <c r="L74" s="12"/>
      <c r="M74" s="3"/>
    </row>
    <row r="82" spans="1:15" ht="18" customHeight="1" x14ac:dyDescent="0.2">
      <c r="A82" s="4"/>
      <c r="B82" s="2060" t="s">
        <v>450</v>
      </c>
      <c r="C82" s="2061"/>
      <c r="D82" s="2061"/>
      <c r="E82" s="2061"/>
      <c r="F82" s="2061"/>
      <c r="G82" s="2062"/>
      <c r="J82" s="2060" t="s">
        <v>450</v>
      </c>
      <c r="K82" s="2061"/>
      <c r="L82" s="2061"/>
      <c r="M82" s="2061"/>
      <c r="N82" s="2061"/>
      <c r="O82" s="2062"/>
    </row>
    <row r="83" spans="1:15" ht="18" customHeight="1" x14ac:dyDescent="0.2">
      <c r="A83" s="4"/>
      <c r="B83" s="2063"/>
      <c r="C83" s="2064"/>
      <c r="D83" s="2064"/>
      <c r="E83" s="2064"/>
      <c r="F83" s="2064"/>
      <c r="G83" s="2065"/>
      <c r="J83" s="2063"/>
      <c r="K83" s="2064"/>
      <c r="L83" s="2064"/>
      <c r="M83" s="2064"/>
      <c r="N83" s="2064"/>
      <c r="O83" s="2065"/>
    </row>
    <row r="84" spans="1:15" ht="18" customHeight="1" x14ac:dyDescent="0.2">
      <c r="A84" s="4"/>
      <c r="B84" s="2063"/>
      <c r="C84" s="2064"/>
      <c r="D84" s="2064"/>
      <c r="E84" s="2064"/>
      <c r="F84" s="2064"/>
      <c r="G84" s="2065"/>
      <c r="J84" s="2063"/>
      <c r="K84" s="2064"/>
      <c r="L84" s="2064"/>
      <c r="M84" s="2064"/>
      <c r="N84" s="2064"/>
      <c r="O84" s="2065"/>
    </row>
    <row r="85" spans="1:15" ht="18" customHeight="1" x14ac:dyDescent="0.2">
      <c r="A85" s="4"/>
      <c r="B85" s="2063"/>
      <c r="C85" s="2064"/>
      <c r="D85" s="2064"/>
      <c r="E85" s="2064"/>
      <c r="F85" s="2064"/>
      <c r="G85" s="2065"/>
      <c r="J85" s="2063"/>
      <c r="K85" s="2064"/>
      <c r="L85" s="2064"/>
      <c r="M85" s="2064"/>
      <c r="N85" s="2064"/>
      <c r="O85" s="2065"/>
    </row>
    <row r="86" spans="1:15" ht="18" customHeight="1" x14ac:dyDescent="0.2">
      <c r="A86" s="4"/>
      <c r="B86" s="2063"/>
      <c r="C86" s="2064"/>
      <c r="D86" s="2064"/>
      <c r="E86" s="2064"/>
      <c r="F86" s="2064"/>
      <c r="G86" s="2065"/>
      <c r="J86" s="2063"/>
      <c r="K86" s="2064"/>
      <c r="L86" s="2064"/>
      <c r="M86" s="2064"/>
      <c r="N86" s="2064"/>
      <c r="O86" s="2065"/>
    </row>
    <row r="87" spans="1:15" ht="18" customHeight="1" x14ac:dyDescent="0.2">
      <c r="A87" s="4"/>
      <c r="B87" s="2063"/>
      <c r="C87" s="2064"/>
      <c r="D87" s="2064"/>
      <c r="E87" s="2064"/>
      <c r="F87" s="2064"/>
      <c r="G87" s="2065"/>
      <c r="J87" s="2063"/>
      <c r="K87" s="2064"/>
      <c r="L87" s="2064"/>
      <c r="M87" s="2064"/>
      <c r="N87" s="2064"/>
      <c r="O87" s="2065"/>
    </row>
    <row r="88" spans="1:15" ht="18" customHeight="1" x14ac:dyDescent="0.2">
      <c r="A88" s="4"/>
      <c r="B88" s="2063"/>
      <c r="C88" s="2064"/>
      <c r="D88" s="2064"/>
      <c r="E88" s="2064"/>
      <c r="F88" s="2064"/>
      <c r="G88" s="2065"/>
      <c r="J88" s="2063"/>
      <c r="K88" s="2064"/>
      <c r="L88" s="2064"/>
      <c r="M88" s="2064"/>
      <c r="N88" s="2064"/>
      <c r="O88" s="2065"/>
    </row>
    <row r="89" spans="1:15" ht="18" customHeight="1" x14ac:dyDescent="0.2">
      <c r="A89" s="4"/>
      <c r="B89" s="2063"/>
      <c r="C89" s="2064"/>
      <c r="D89" s="2064"/>
      <c r="E89" s="2064"/>
      <c r="F89" s="2064"/>
      <c r="G89" s="2065"/>
      <c r="J89" s="2063"/>
      <c r="K89" s="2064"/>
      <c r="L89" s="2064"/>
      <c r="M89" s="2064"/>
      <c r="N89" s="2064"/>
      <c r="O89" s="2065"/>
    </row>
    <row r="90" spans="1:15" ht="18" customHeight="1" x14ac:dyDescent="0.2">
      <c r="A90" s="4"/>
      <c r="B90" s="2066"/>
      <c r="C90" s="2067"/>
      <c r="D90" s="2067"/>
      <c r="E90" s="2067"/>
      <c r="F90" s="2067"/>
      <c r="G90" s="2068"/>
      <c r="J90" s="2066"/>
      <c r="K90" s="2067"/>
      <c r="L90" s="2067"/>
      <c r="M90" s="2067"/>
      <c r="N90" s="2067"/>
      <c r="O90" s="2068"/>
    </row>
  </sheetData>
  <sheetProtection selectLockedCells="1"/>
  <mergeCells count="64">
    <mergeCell ref="A34:A51"/>
    <mergeCell ref="B54:D54"/>
    <mergeCell ref="B27:C27"/>
    <mergeCell ref="E27:F27"/>
    <mergeCell ref="E26:F26"/>
    <mergeCell ref="E28:F28"/>
    <mergeCell ref="E29:F29"/>
    <mergeCell ref="D32:F32"/>
    <mergeCell ref="B34:D34"/>
    <mergeCell ref="E34:G34"/>
    <mergeCell ref="A54:A62"/>
    <mergeCell ref="B37:C37"/>
    <mergeCell ref="B41:C41"/>
    <mergeCell ref="B46:C46"/>
    <mergeCell ref="B48:C48"/>
    <mergeCell ref="B51:C51"/>
    <mergeCell ref="B82:G90"/>
    <mergeCell ref="B29:C29"/>
    <mergeCell ref="B62:C62"/>
    <mergeCell ref="E62:F62"/>
    <mergeCell ref="E54:G54"/>
    <mergeCell ref="E49:F49"/>
    <mergeCell ref="B49:C49"/>
    <mergeCell ref="J82:O90"/>
    <mergeCell ref="A7:A29"/>
    <mergeCell ref="B7:D7"/>
    <mergeCell ref="E7:G7"/>
    <mergeCell ref="B23:C23"/>
    <mergeCell ref="J46:K46"/>
    <mergeCell ref="J48:K48"/>
    <mergeCell ref="E23:F23"/>
    <mergeCell ref="B26:C26"/>
    <mergeCell ref="B28:C28"/>
    <mergeCell ref="I7:I29"/>
    <mergeCell ref="I34:I51"/>
    <mergeCell ref="E41:F41"/>
    <mergeCell ref="E51:F51"/>
    <mergeCell ref="J62:K62"/>
    <mergeCell ref="M62:N62"/>
    <mergeCell ref="M27:N27"/>
    <mergeCell ref="M28:N28"/>
    <mergeCell ref="M29:N29"/>
    <mergeCell ref="I54:I62"/>
    <mergeCell ref="J23:K23"/>
    <mergeCell ref="J26:K26"/>
    <mergeCell ref="J27:K27"/>
    <mergeCell ref="J37:K37"/>
    <mergeCell ref="J41:K41"/>
    <mergeCell ref="J7:L7"/>
    <mergeCell ref="M7:O7"/>
    <mergeCell ref="J28:K28"/>
    <mergeCell ref="J29:K29"/>
    <mergeCell ref="J54:L54"/>
    <mergeCell ref="M54:O54"/>
    <mergeCell ref="J49:K49"/>
    <mergeCell ref="J51:K51"/>
    <mergeCell ref="M41:N41"/>
    <mergeCell ref="M49:N49"/>
    <mergeCell ref="M51:N51"/>
    <mergeCell ref="L32:N32"/>
    <mergeCell ref="J34:L34"/>
    <mergeCell ref="M34:O34"/>
    <mergeCell ref="M23:N23"/>
    <mergeCell ref="M26:N26"/>
  </mergeCells>
  <phoneticPr fontId="2"/>
  <conditionalFormatting sqref="D55:D61 G55:G61 L55:L61 O55:O61">
    <cfRule type="cellIs" dxfId="5" priority="10" stopIfTrue="1" operator="equal">
      <formula>0</formula>
    </cfRule>
  </conditionalFormatting>
  <conditionalFormatting sqref="G30 O30 G52 O52 G63 O63 C73 K73">
    <cfRule type="cellIs" dxfId="4" priority="12" stopIfTrue="1" operator="notEqual">
      <formula>0</formula>
    </cfRule>
  </conditionalFormatting>
  <pageMargins left="0.51181102362204722" right="0.35433070866141736" top="0.70866141732283472" bottom="0.43307086614173229" header="0.31496062992125984" footer="0.31496062992125984"/>
  <pageSetup paperSize="8" scale="50" orientation="portrait" cellComments="asDisplaye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BE75"/>
  <sheetViews>
    <sheetView showGridLines="0" view="pageBreakPreview" zoomScale="80" zoomScaleNormal="85" zoomScaleSheetLayoutView="80" workbookViewId="0">
      <selection activeCell="G7" sqref="G7"/>
    </sheetView>
  </sheetViews>
  <sheetFormatPr defaultColWidth="9" defaultRowHeight="13.2" x14ac:dyDescent="0.2"/>
  <cols>
    <col min="1" max="1" width="4" style="100" customWidth="1"/>
    <col min="2" max="3" width="3.21875" style="100" customWidth="1"/>
    <col min="4" max="4" width="16.6640625" style="100" customWidth="1"/>
    <col min="5" max="5" width="13.77734375" style="100" customWidth="1"/>
    <col min="6" max="6" width="6.6640625" style="658" customWidth="1"/>
    <col min="7" max="7" width="13.77734375" style="785" customWidth="1"/>
    <col min="8" max="8" width="6.6640625" style="658" customWidth="1"/>
    <col min="9" max="9" width="13.77734375" style="785" customWidth="1"/>
    <col min="10" max="10" width="6.6640625" style="658" customWidth="1"/>
    <col min="11" max="11" width="13.77734375" style="785" customWidth="1"/>
    <col min="12" max="12" width="6.6640625" style="658" customWidth="1"/>
    <col min="13" max="13" width="13.77734375" style="785" customWidth="1"/>
    <col min="14" max="14" width="6.6640625" style="658" customWidth="1"/>
    <col min="15" max="15" width="13.77734375" style="785" customWidth="1"/>
    <col min="16" max="16" width="6.6640625" style="658" customWidth="1"/>
    <col min="17" max="17" width="9" style="4"/>
    <col min="18" max="18" width="16" style="4" customWidth="1"/>
    <col min="19" max="24" width="11.6640625" style="4" customWidth="1"/>
    <col min="25" max="37" width="9" style="4"/>
    <col min="38" max="38" width="4.77734375" style="100" customWidth="1"/>
    <col min="39" max="57" width="9" style="4"/>
    <col min="58" max="16384" width="9" style="100"/>
  </cols>
  <sheetData>
    <row r="1" spans="1:38" s="4" customFormat="1" ht="24.75" customHeight="1" x14ac:dyDescent="0.2">
      <c r="A1" s="974" t="s">
        <v>526</v>
      </c>
      <c r="B1" s="100"/>
      <c r="C1" s="103"/>
      <c r="D1" s="100"/>
      <c r="E1" s="100"/>
      <c r="F1" s="658"/>
      <c r="G1" s="785"/>
      <c r="H1" s="658"/>
      <c r="I1" s="785"/>
      <c r="J1" s="658"/>
      <c r="K1" s="785"/>
      <c r="L1" s="658"/>
      <c r="M1" s="785"/>
      <c r="N1" s="658"/>
      <c r="O1" s="785"/>
      <c r="P1" s="658"/>
      <c r="AL1" s="100"/>
    </row>
    <row r="2" spans="1:38" s="4" customFormat="1" ht="48" customHeight="1" thickBot="1" x14ac:dyDescent="0.25">
      <c r="A2" s="198"/>
      <c r="B2" s="100"/>
      <c r="C2" s="103"/>
      <c r="D2" s="100"/>
      <c r="E2" s="100"/>
      <c r="F2" s="658"/>
      <c r="G2" s="785"/>
      <c r="H2" s="658"/>
      <c r="I2" s="785"/>
      <c r="J2" s="658"/>
      <c r="K2" s="785"/>
      <c r="L2" s="658"/>
      <c r="M2" s="785"/>
      <c r="N2" s="658"/>
      <c r="O2" s="785"/>
      <c r="P2" s="975" t="s">
        <v>527</v>
      </c>
      <c r="AL2" s="100"/>
    </row>
    <row r="3" spans="1:38" s="4" customFormat="1" ht="22.5" customHeight="1" x14ac:dyDescent="0.2">
      <c r="A3" s="198"/>
      <c r="B3" s="100"/>
      <c r="C3" s="103"/>
      <c r="D3" s="100"/>
      <c r="E3" s="2128" t="s">
        <v>451</v>
      </c>
      <c r="F3" s="2129"/>
      <c r="G3" s="2130" t="s">
        <v>528</v>
      </c>
      <c r="H3" s="2131"/>
      <c r="I3" s="2131"/>
      <c r="J3" s="2131"/>
      <c r="K3" s="2131"/>
      <c r="L3" s="2131"/>
      <c r="M3" s="2131"/>
      <c r="N3" s="2131"/>
      <c r="O3" s="2131"/>
      <c r="P3" s="2132"/>
      <c r="AL3" s="100"/>
    </row>
    <row r="4" spans="1:38" s="4" customFormat="1" ht="22.5" customHeight="1" x14ac:dyDescent="0.2">
      <c r="A4" s="198"/>
      <c r="B4" s="100"/>
      <c r="C4" s="103"/>
      <c r="D4" s="100"/>
      <c r="E4" s="1972"/>
      <c r="F4" s="1973"/>
      <c r="G4" s="2133" t="s">
        <v>529</v>
      </c>
      <c r="H4" s="2030"/>
      <c r="I4" s="2134" t="s">
        <v>530</v>
      </c>
      <c r="J4" s="2030"/>
      <c r="K4" s="2134" t="s">
        <v>531</v>
      </c>
      <c r="L4" s="2030"/>
      <c r="M4" s="2134" t="s">
        <v>532</v>
      </c>
      <c r="N4" s="2030"/>
      <c r="O4" s="2134" t="s">
        <v>533</v>
      </c>
      <c r="P4" s="2027"/>
      <c r="AL4" s="100"/>
    </row>
    <row r="5" spans="1:38" s="4" customFormat="1" ht="40.5" customHeight="1" x14ac:dyDescent="0.2">
      <c r="A5" s="2115"/>
      <c r="B5" s="1506"/>
      <c r="C5" s="1506"/>
      <c r="D5" s="1732"/>
      <c r="E5" s="1399" t="str">
        <f>'財務諸表（入力）'!J4</f>
        <v>2022年2月1日～2023年1月31日</v>
      </c>
      <c r="F5" s="976" t="s">
        <v>367</v>
      </c>
      <c r="G5" s="977"/>
      <c r="H5" s="976" t="s">
        <v>367</v>
      </c>
      <c r="I5" s="978"/>
      <c r="J5" s="976" t="s">
        <v>367</v>
      </c>
      <c r="K5" s="978"/>
      <c r="L5" s="976" t="s">
        <v>367</v>
      </c>
      <c r="M5" s="978"/>
      <c r="N5" s="976" t="s">
        <v>367</v>
      </c>
      <c r="O5" s="978"/>
      <c r="P5" s="979" t="s">
        <v>367</v>
      </c>
      <c r="AL5" s="100"/>
    </row>
    <row r="6" spans="1:38" s="4" customFormat="1" ht="45" customHeight="1" x14ac:dyDescent="0.2">
      <c r="A6" s="2116" t="s">
        <v>5</v>
      </c>
      <c r="B6" s="2117"/>
      <c r="C6" s="2117"/>
      <c r="D6" s="2118"/>
      <c r="E6" s="980">
        <f>'財務諸表（入力）'!J129</f>
        <v>0</v>
      </c>
      <c r="F6" s="981" t="str">
        <f>IF(E6=0,"",E6/E$6)</f>
        <v/>
      </c>
      <c r="G6" s="982">
        <f>IF(E6="","",E6*(1+G51))</f>
        <v>0</v>
      </c>
      <c r="H6" s="983" t="e">
        <f>IF(G6="","",G6/G$6)</f>
        <v>#DIV/0!</v>
      </c>
      <c r="I6" s="984">
        <f>IF(G6="","",G6*(1+I51))</f>
        <v>0</v>
      </c>
      <c r="J6" s="983" t="e">
        <f t="shared" ref="J6" si="0">IF(I6="","",I6/I$6)</f>
        <v>#DIV/0!</v>
      </c>
      <c r="K6" s="984">
        <f>IF(I6="","",I6*(1+K51))</f>
        <v>0</v>
      </c>
      <c r="L6" s="983" t="e">
        <f t="shared" ref="L6" si="1">IF(K6="","",K6/K$6)</f>
        <v>#DIV/0!</v>
      </c>
      <c r="M6" s="984">
        <f>IF(K6="","",K6*(1+M51))</f>
        <v>0</v>
      </c>
      <c r="N6" s="983" t="e">
        <f t="shared" ref="N6" si="2">IF(M6="","",M6/M$6)</f>
        <v>#DIV/0!</v>
      </c>
      <c r="O6" s="984">
        <f>IF(M6="","",M6*(1+O51))</f>
        <v>0</v>
      </c>
      <c r="P6" s="985" t="e">
        <f t="shared" ref="P6" si="3">IF(O6="","",O6/O$6)</f>
        <v>#DIV/0!</v>
      </c>
      <c r="AL6" s="100"/>
    </row>
    <row r="7" spans="1:38" s="4" customFormat="1" ht="24" customHeight="1" x14ac:dyDescent="0.2">
      <c r="A7" s="2119" t="s">
        <v>357</v>
      </c>
      <c r="B7" s="2120"/>
      <c r="C7" s="2120"/>
      <c r="D7" s="2121"/>
      <c r="E7" s="986">
        <f ca="1">SUM(E8:E14)</f>
        <v>0</v>
      </c>
      <c r="F7" s="987" t="str">
        <f t="shared" ref="F7:H31" ca="1" si="4">IF(E7=0,"",E7/E$6)</f>
        <v/>
      </c>
      <c r="G7" s="988">
        <f ca="1">SUM(G8:G14)</f>
        <v>0</v>
      </c>
      <c r="H7" s="989" t="str">
        <f t="shared" ref="H7:P30" ca="1" si="5">IF(G7=0,"",G7/G$6)</f>
        <v/>
      </c>
      <c r="I7" s="990">
        <f t="shared" ref="I7" ca="1" si="6">SUM(I8:I14)</f>
        <v>0</v>
      </c>
      <c r="J7" s="989" t="str">
        <f t="shared" ca="1" si="5"/>
        <v/>
      </c>
      <c r="K7" s="990">
        <f t="shared" ref="K7" ca="1" si="7">SUM(K8:K14)</f>
        <v>0</v>
      </c>
      <c r="L7" s="989" t="str">
        <f t="shared" ca="1" si="5"/>
        <v/>
      </c>
      <c r="M7" s="990">
        <f t="shared" ref="M7" ca="1" si="8">SUM(M8:M14)</f>
        <v>0</v>
      </c>
      <c r="N7" s="989" t="str">
        <f t="shared" ca="1" si="5"/>
        <v/>
      </c>
      <c r="O7" s="990">
        <f t="shared" ref="O7" ca="1" si="9">SUM(O8:O14)</f>
        <v>0</v>
      </c>
      <c r="P7" s="991" t="str">
        <f t="shared" ca="1" si="5"/>
        <v/>
      </c>
      <c r="R7" s="1105"/>
      <c r="S7" s="1106" t="str">
        <f>E5</f>
        <v>2022年2月1日～2023年1月31日</v>
      </c>
      <c r="T7" s="1106" t="str">
        <f>G4</f>
        <v>計画1期</v>
      </c>
      <c r="U7" s="1106" t="str">
        <f>I4</f>
        <v>計画2期</v>
      </c>
      <c r="V7" s="1106" t="str">
        <f>K4</f>
        <v>計画3期</v>
      </c>
      <c r="W7" s="1106" t="str">
        <f>M4</f>
        <v>計画4期</v>
      </c>
      <c r="X7" s="1106" t="str">
        <f>O4</f>
        <v>計画5期</v>
      </c>
      <c r="AL7" s="100"/>
    </row>
    <row r="8" spans="1:38" s="4" customFormat="1" ht="18" customHeight="1" x14ac:dyDescent="0.2">
      <c r="A8" s="992"/>
      <c r="B8" s="2122" t="s">
        <v>381</v>
      </c>
      <c r="C8" s="2123" t="s">
        <v>192</v>
      </c>
      <c r="D8" s="993" t="s">
        <v>188</v>
      </c>
      <c r="E8" s="534">
        <f>'財務諸表（入力）'!J96</f>
        <v>0</v>
      </c>
      <c r="F8" s="994" t="str">
        <f t="shared" si="4"/>
        <v/>
      </c>
      <c r="G8" s="995">
        <f>IF(E8=0,0,G$6*H8)</f>
        <v>0</v>
      </c>
      <c r="H8" s="996" t="str">
        <f>H54</f>
        <v/>
      </c>
      <c r="I8" s="997">
        <f t="shared" ref="I8" si="10">IF(G8=0,0,I$6*J8)</f>
        <v>0</v>
      </c>
      <c r="J8" s="996" t="str">
        <f t="shared" ref="J8" si="11">J54</f>
        <v/>
      </c>
      <c r="K8" s="997">
        <f t="shared" ref="K8" si="12">IF(I8=0,0,K$6*L8)</f>
        <v>0</v>
      </c>
      <c r="L8" s="996" t="str">
        <f t="shared" ref="L8" si="13">L54</f>
        <v/>
      </c>
      <c r="M8" s="997">
        <f t="shared" ref="M8" si="14">IF(K8=0,0,M$6*N8)</f>
        <v>0</v>
      </c>
      <c r="N8" s="996" t="str">
        <f t="shared" ref="N8" si="15">N54</f>
        <v/>
      </c>
      <c r="O8" s="997">
        <f t="shared" ref="O8" si="16">IF(M8=0,0,O$6*P8)</f>
        <v>0</v>
      </c>
      <c r="P8" s="998" t="str">
        <f t="shared" ref="P8" si="17">P54</f>
        <v/>
      </c>
      <c r="R8" s="1105" t="s">
        <v>534</v>
      </c>
      <c r="S8" s="1106">
        <f>E6</f>
        <v>0</v>
      </c>
      <c r="T8" s="1106">
        <f>G6</f>
        <v>0</v>
      </c>
      <c r="U8" s="1106">
        <f>I6</f>
        <v>0</v>
      </c>
      <c r="V8" s="1106">
        <f>K6</f>
        <v>0</v>
      </c>
      <c r="W8" s="1106">
        <f>M6</f>
        <v>0</v>
      </c>
      <c r="X8" s="1106">
        <f>O6</f>
        <v>0</v>
      </c>
      <c r="AL8" s="100"/>
    </row>
    <row r="9" spans="1:38" s="4" customFormat="1" ht="18" customHeight="1" x14ac:dyDescent="0.2">
      <c r="A9" s="992"/>
      <c r="B9" s="2122"/>
      <c r="C9" s="2123"/>
      <c r="D9" s="999" t="s">
        <v>535</v>
      </c>
      <c r="E9" s="544">
        <f ca="1">SUMIF('財務諸表（入力）'!C97:D100,"V",'財務諸表（入力）'!D97:D100)</f>
        <v>0</v>
      </c>
      <c r="F9" s="1000" t="str">
        <f t="shared" ca="1" si="4"/>
        <v/>
      </c>
      <c r="G9" s="1001">
        <f ca="1">IF(E9=0,0,G6*H65)</f>
        <v>0</v>
      </c>
      <c r="H9" s="1002" t="str">
        <f ca="1">H65</f>
        <v/>
      </c>
      <c r="I9" s="1003">
        <f ca="1">IF(G9=0,0,I6*J65)</f>
        <v>0</v>
      </c>
      <c r="J9" s="1002" t="str">
        <f t="shared" ref="J9" ca="1" si="18">J65</f>
        <v/>
      </c>
      <c r="K9" s="1003">
        <f ca="1">IF(I9=0,0,K6*L65)</f>
        <v>0</v>
      </c>
      <c r="L9" s="1002" t="str">
        <f t="shared" ref="L9" ca="1" si="19">L65</f>
        <v/>
      </c>
      <c r="M9" s="1003">
        <f ca="1">IF(K9=0,0,M6*N65)</f>
        <v>0</v>
      </c>
      <c r="N9" s="1002" t="str">
        <f t="shared" ref="N9" ca="1" si="20">N65</f>
        <v/>
      </c>
      <c r="O9" s="1003">
        <f ca="1">IF(M9=0,0,O6*P65)</f>
        <v>0</v>
      </c>
      <c r="P9" s="1004" t="str">
        <f t="shared" ref="P9" ca="1" si="21">P65</f>
        <v/>
      </c>
      <c r="R9" s="1105" t="s">
        <v>536</v>
      </c>
      <c r="S9" s="1106" t="e">
        <f ca="1">E33</f>
        <v>#VALUE!</v>
      </c>
      <c r="T9" s="1106" t="e">
        <f ca="1">G33</f>
        <v>#VALUE!</v>
      </c>
      <c r="U9" s="1106" t="e">
        <f ca="1">I33</f>
        <v>#VALUE!</v>
      </c>
      <c r="V9" s="1106" t="e">
        <f ca="1">K33</f>
        <v>#VALUE!</v>
      </c>
      <c r="W9" s="1106" t="e">
        <f ca="1">M33</f>
        <v>#VALUE!</v>
      </c>
      <c r="X9" s="1106" t="e">
        <f ca="1">O33</f>
        <v>#VALUE!</v>
      </c>
      <c r="AL9" s="100"/>
    </row>
    <row r="10" spans="1:38" s="4" customFormat="1" ht="18" customHeight="1" x14ac:dyDescent="0.2">
      <c r="A10" s="992"/>
      <c r="B10" s="2122"/>
      <c r="C10" s="2122"/>
      <c r="D10" s="1005" t="s">
        <v>537</v>
      </c>
      <c r="E10" s="535">
        <f>'財務諸表（入力）'!J103</f>
        <v>0</v>
      </c>
      <c r="F10" s="1006" t="str">
        <f t="shared" si="4"/>
        <v/>
      </c>
      <c r="G10" s="1007">
        <f>IF(E10=0,0,G$6*H10)</f>
        <v>0</v>
      </c>
      <c r="H10" s="1008" t="str">
        <f>H55</f>
        <v/>
      </c>
      <c r="I10" s="1009">
        <f t="shared" ref="I10:I12" si="22">IF(G10=0,0,I$6*J10)</f>
        <v>0</v>
      </c>
      <c r="J10" s="1008" t="str">
        <f t="shared" ref="J10:J12" si="23">J55</f>
        <v/>
      </c>
      <c r="K10" s="1009">
        <f t="shared" ref="K10:K12" si="24">IF(I10=0,0,K$6*L10)</f>
        <v>0</v>
      </c>
      <c r="L10" s="1008" t="str">
        <f t="shared" ref="L10:L12" si="25">L55</f>
        <v/>
      </c>
      <c r="M10" s="1009">
        <f t="shared" ref="M10:M12" si="26">IF(K10=0,0,M$6*N10)</f>
        <v>0</v>
      </c>
      <c r="N10" s="1008" t="str">
        <f t="shared" ref="N10:N12" si="27">N55</f>
        <v/>
      </c>
      <c r="O10" s="1009">
        <f t="shared" ref="O10:O12" si="28">IF(M10=0,0,O$6*P10)</f>
        <v>0</v>
      </c>
      <c r="P10" s="1010" t="str">
        <f t="shared" ref="P10:P12" si="29">P55</f>
        <v/>
      </c>
      <c r="R10" s="1105" t="s">
        <v>538</v>
      </c>
      <c r="S10" s="1106">
        <f ca="1">E7</f>
        <v>0</v>
      </c>
      <c r="T10" s="1106">
        <f ca="1">G7</f>
        <v>0</v>
      </c>
      <c r="U10" s="1106">
        <f ca="1">I7</f>
        <v>0</v>
      </c>
      <c r="V10" s="1106">
        <f ca="1">K7</f>
        <v>0</v>
      </c>
      <c r="W10" s="1106">
        <f ca="1">M7</f>
        <v>0</v>
      </c>
      <c r="X10" s="1106">
        <f ca="1">O7</f>
        <v>0</v>
      </c>
      <c r="AL10" s="100"/>
    </row>
    <row r="11" spans="1:38" s="4" customFormat="1" ht="18" customHeight="1" x14ac:dyDescent="0.2">
      <c r="A11" s="992"/>
      <c r="B11" s="2122"/>
      <c r="C11" s="2122"/>
      <c r="D11" s="1011" t="s">
        <v>539</v>
      </c>
      <c r="E11" s="1012">
        <f>SUMIF('財務諸表（入力）'!C104:C116,"V",'財務諸表（入力）'!J104:J116)-'財務諸表（入力）'!J121</f>
        <v>0</v>
      </c>
      <c r="F11" s="1013" t="str">
        <f t="shared" si="4"/>
        <v/>
      </c>
      <c r="G11" s="1014">
        <f>IF(E11=0,0,G$6*H11)</f>
        <v>0</v>
      </c>
      <c r="H11" s="1015" t="str">
        <f>H56</f>
        <v/>
      </c>
      <c r="I11" s="1016">
        <f t="shared" si="22"/>
        <v>0</v>
      </c>
      <c r="J11" s="1015" t="str">
        <f t="shared" si="23"/>
        <v/>
      </c>
      <c r="K11" s="1016">
        <f t="shared" si="24"/>
        <v>0</v>
      </c>
      <c r="L11" s="1015" t="str">
        <f t="shared" si="25"/>
        <v/>
      </c>
      <c r="M11" s="1016">
        <f t="shared" si="26"/>
        <v>0</v>
      </c>
      <c r="N11" s="1015" t="str">
        <f t="shared" si="27"/>
        <v/>
      </c>
      <c r="O11" s="1016">
        <f t="shared" si="28"/>
        <v>0</v>
      </c>
      <c r="P11" s="1017" t="str">
        <f t="shared" si="29"/>
        <v/>
      </c>
      <c r="R11" s="1105" t="s">
        <v>540</v>
      </c>
      <c r="S11" s="1106">
        <f>E16</f>
        <v>0</v>
      </c>
      <c r="T11" s="1106">
        <f>G16</f>
        <v>0</v>
      </c>
      <c r="U11" s="1106">
        <f>I16</f>
        <v>0</v>
      </c>
      <c r="V11" s="1106">
        <f>K16</f>
        <v>0</v>
      </c>
      <c r="W11" s="1106">
        <f>M16</f>
        <v>0</v>
      </c>
      <c r="X11" s="1106">
        <f>O16</f>
        <v>0</v>
      </c>
      <c r="AL11" s="100"/>
    </row>
    <row r="12" spans="1:38" s="4" customFormat="1" ht="18" customHeight="1" x14ac:dyDescent="0.2">
      <c r="A12" s="992"/>
      <c r="B12" s="2122"/>
      <c r="C12" s="2124" t="s">
        <v>541</v>
      </c>
      <c r="D12" s="2125"/>
      <c r="E12" s="980">
        <f>'財務諸表（入力）'!J131</f>
        <v>0</v>
      </c>
      <c r="F12" s="981" t="str">
        <f t="shared" si="4"/>
        <v/>
      </c>
      <c r="G12" s="982">
        <f>IF(E12=0,0,G$6*H12)</f>
        <v>0</v>
      </c>
      <c r="H12" s="983" t="str">
        <f>H57</f>
        <v/>
      </c>
      <c r="I12" s="984">
        <f t="shared" si="22"/>
        <v>0</v>
      </c>
      <c r="J12" s="983" t="str">
        <f t="shared" si="23"/>
        <v/>
      </c>
      <c r="K12" s="984">
        <f t="shared" si="24"/>
        <v>0</v>
      </c>
      <c r="L12" s="983" t="str">
        <f t="shared" si="25"/>
        <v/>
      </c>
      <c r="M12" s="984">
        <f t="shared" si="26"/>
        <v>0</v>
      </c>
      <c r="N12" s="983" t="str">
        <f t="shared" si="27"/>
        <v/>
      </c>
      <c r="O12" s="984">
        <f t="shared" si="28"/>
        <v>0</v>
      </c>
      <c r="P12" s="985" t="str">
        <f t="shared" si="29"/>
        <v/>
      </c>
      <c r="R12" s="1105" t="s">
        <v>542</v>
      </c>
      <c r="S12" s="1107" t="str">
        <f ca="1">F15</f>
        <v/>
      </c>
      <c r="T12" s="1107" t="str">
        <f ca="1">H15</f>
        <v/>
      </c>
      <c r="U12" s="1107" t="str">
        <f ca="1">J15</f>
        <v/>
      </c>
      <c r="V12" s="1107" t="str">
        <f ca="1">L15</f>
        <v/>
      </c>
      <c r="W12" s="1107" t="str">
        <f ca="1">N15</f>
        <v/>
      </c>
      <c r="X12" s="1107" t="str">
        <f ca="1">P15</f>
        <v/>
      </c>
      <c r="AL12" s="100"/>
    </row>
    <row r="13" spans="1:38" s="4" customFormat="1" ht="18" customHeight="1" x14ac:dyDescent="0.2">
      <c r="A13" s="992"/>
      <c r="B13" s="2111"/>
      <c r="C13" s="2126" t="s">
        <v>543</v>
      </c>
      <c r="D13" s="2127"/>
      <c r="E13" s="1018">
        <f>'財務諸表（入力）'!J130-'財務諸表（入力）'!J134-'財務諸表（入力）'!J133+'財務諸表（入力）'!J118-'財務諸表（入力）'!J120-'財務諸表（入力）'!J121</f>
        <v>0</v>
      </c>
      <c r="F13" s="1019" t="str">
        <f t="shared" si="4"/>
        <v/>
      </c>
      <c r="G13" s="982">
        <f>E61-G61</f>
        <v>0</v>
      </c>
      <c r="H13" s="983" t="e">
        <f>IF(G13="","",G13/G$6)</f>
        <v>#DIV/0!</v>
      </c>
      <c r="I13" s="984">
        <f>G61-I61</f>
        <v>0</v>
      </c>
      <c r="J13" s="983" t="e">
        <f>IF(I13="","",I13/I$6)</f>
        <v>#DIV/0!</v>
      </c>
      <c r="K13" s="984">
        <f>I61-K61</f>
        <v>0</v>
      </c>
      <c r="L13" s="983" t="e">
        <f t="shared" ref="L13" si="30">IF(K13="","",K13/K$6)</f>
        <v>#DIV/0!</v>
      </c>
      <c r="M13" s="984">
        <f>K61-M61</f>
        <v>0</v>
      </c>
      <c r="N13" s="983" t="e">
        <f t="shared" ref="N13" si="31">IF(M13="","",M13/M$6)</f>
        <v>#DIV/0!</v>
      </c>
      <c r="O13" s="984">
        <f>M61-O61</f>
        <v>0</v>
      </c>
      <c r="P13" s="985" t="e">
        <f t="shared" ref="P13" si="32">IF(O13="","",O13/O$6)</f>
        <v>#DIV/0!</v>
      </c>
      <c r="R13" s="1105" t="s">
        <v>544</v>
      </c>
      <c r="S13" s="1107" t="e">
        <f ca="1">F33</f>
        <v>#VALUE!</v>
      </c>
      <c r="T13" s="1107" t="e">
        <f ca="1">H33</f>
        <v>#VALUE!</v>
      </c>
      <c r="U13" s="1107" t="e">
        <f ca="1">J33</f>
        <v>#VALUE!</v>
      </c>
      <c r="V13" s="1107" t="e">
        <f ca="1">L33</f>
        <v>#VALUE!</v>
      </c>
      <c r="W13" s="1107" t="e">
        <f ca="1">N33</f>
        <v>#VALUE!</v>
      </c>
      <c r="X13" s="1107" t="e">
        <f ca="1">P33</f>
        <v>#VALUE!</v>
      </c>
      <c r="AL13" s="100"/>
    </row>
    <row r="14" spans="1:38" s="4" customFormat="1" ht="24" customHeight="1" thickBot="1" x14ac:dyDescent="0.25">
      <c r="A14" s="1020"/>
      <c r="B14" s="2101" t="s">
        <v>181</v>
      </c>
      <c r="C14" s="2101"/>
      <c r="D14" s="2101"/>
      <c r="E14" s="1018">
        <f>SUMIF('財務諸表（入力）'!C144:C155,"V",'財務諸表（入力）'!J144:J155)</f>
        <v>0</v>
      </c>
      <c r="F14" s="1019" t="str">
        <f t="shared" si="4"/>
        <v/>
      </c>
      <c r="G14" s="1021">
        <f>IF(E14=0,0,G$6*H14)</f>
        <v>0</v>
      </c>
      <c r="H14" s="1022" t="str">
        <f>H58</f>
        <v/>
      </c>
      <c r="I14" s="1023">
        <f t="shared" ref="I14" si="33">IF(G14=0,0,I$6*J14)</f>
        <v>0</v>
      </c>
      <c r="J14" s="1022" t="str">
        <f t="shared" ref="J14" si="34">J58</f>
        <v/>
      </c>
      <c r="K14" s="1023">
        <f t="shared" ref="K14" si="35">IF(I14=0,0,K$6*L14)</f>
        <v>0</v>
      </c>
      <c r="L14" s="1022" t="str">
        <f t="shared" ref="L14" si="36">L58</f>
        <v/>
      </c>
      <c r="M14" s="1023">
        <f t="shared" ref="M14" si="37">IF(K14=0,0,M$6*N14)</f>
        <v>0</v>
      </c>
      <c r="N14" s="1022" t="str">
        <f t="shared" ref="N14" si="38">N58</f>
        <v/>
      </c>
      <c r="O14" s="1023">
        <f t="shared" ref="O14" si="39">IF(M14=0,0,O$6*P14)</f>
        <v>0</v>
      </c>
      <c r="P14" s="1024" t="str">
        <f t="shared" ref="P14" si="40">P58</f>
        <v/>
      </c>
      <c r="AL14" s="100"/>
    </row>
    <row r="15" spans="1:38" s="4" customFormat="1" ht="24" customHeight="1" thickBot="1" x14ac:dyDescent="0.25">
      <c r="A15" s="2102" t="s">
        <v>358</v>
      </c>
      <c r="B15" s="2103"/>
      <c r="C15" s="2103"/>
      <c r="D15" s="2104"/>
      <c r="E15" s="1025">
        <f ca="1">E6-E7</f>
        <v>0</v>
      </c>
      <c r="F15" s="1026" t="str">
        <f t="shared" ca="1" si="4"/>
        <v/>
      </c>
      <c r="G15" s="1027">
        <f ca="1">G6-G7</f>
        <v>0</v>
      </c>
      <c r="H15" s="1028" t="str">
        <f t="shared" ca="1" si="4"/>
        <v/>
      </c>
      <c r="I15" s="1029">
        <f ca="1">I6-I7</f>
        <v>0</v>
      </c>
      <c r="J15" s="1028" t="str">
        <f t="shared" ca="1" si="5"/>
        <v/>
      </c>
      <c r="K15" s="1029">
        <f ca="1">K6-K7</f>
        <v>0</v>
      </c>
      <c r="L15" s="1028" t="str">
        <f t="shared" ref="L15:L31" ca="1" si="41">IF(K15=0,"",K15/K$6)</f>
        <v/>
      </c>
      <c r="M15" s="1029">
        <f ca="1">M6-M7</f>
        <v>0</v>
      </c>
      <c r="N15" s="1028" t="str">
        <f t="shared" ref="N15:N31" ca="1" si="42">IF(M15=0,"",M15/M$6)</f>
        <v/>
      </c>
      <c r="O15" s="1029">
        <f ca="1">O6-O7</f>
        <v>0</v>
      </c>
      <c r="P15" s="1030" t="str">
        <f t="shared" ref="P15:P31" ca="1" si="43">IF(O15=0,"",O15/O$6)</f>
        <v/>
      </c>
      <c r="AL15" s="100"/>
    </row>
    <row r="16" spans="1:38" s="4" customFormat="1" ht="24" customHeight="1" x14ac:dyDescent="0.2">
      <c r="A16" s="2105" t="s">
        <v>359</v>
      </c>
      <c r="B16" s="2106"/>
      <c r="C16" s="2106"/>
      <c r="D16" s="2107"/>
      <c r="E16" s="986">
        <f>SUM(E17:E23)</f>
        <v>0</v>
      </c>
      <c r="F16" s="987" t="str">
        <f t="shared" si="4"/>
        <v/>
      </c>
      <c r="G16" s="988">
        <f>SUM(G17:G23)</f>
        <v>0</v>
      </c>
      <c r="H16" s="989" t="str">
        <f t="shared" si="4"/>
        <v/>
      </c>
      <c r="I16" s="990">
        <f t="shared" ref="I16" si="44">SUM(I17:I23)</f>
        <v>0</v>
      </c>
      <c r="J16" s="989" t="str">
        <f t="shared" si="5"/>
        <v/>
      </c>
      <c r="K16" s="990">
        <f t="shared" ref="K16" si="45">SUM(K17:K23)</f>
        <v>0</v>
      </c>
      <c r="L16" s="989" t="str">
        <f t="shared" si="41"/>
        <v/>
      </c>
      <c r="M16" s="990">
        <f t="shared" ref="M16" si="46">SUM(M17:M23)</f>
        <v>0</v>
      </c>
      <c r="N16" s="989" t="str">
        <f t="shared" si="42"/>
        <v/>
      </c>
      <c r="O16" s="990">
        <f t="shared" ref="O16" si="47">SUM(O17:O23)</f>
        <v>0</v>
      </c>
      <c r="P16" s="991" t="str">
        <f t="shared" si="43"/>
        <v/>
      </c>
      <c r="AL16" s="100"/>
    </row>
    <row r="17" spans="1:38" s="4" customFormat="1" ht="18" customHeight="1" x14ac:dyDescent="0.2">
      <c r="A17" s="992"/>
      <c r="B17" s="2108" t="s">
        <v>545</v>
      </c>
      <c r="C17" s="1622"/>
      <c r="D17" s="1605"/>
      <c r="E17" s="534">
        <f>SUMIF('財務諸表（入力）'!C97:C100,"F",'財務諸表（入力）'!J97:J100)</f>
        <v>0</v>
      </c>
      <c r="F17" s="994" t="str">
        <f t="shared" si="4"/>
        <v/>
      </c>
      <c r="G17" s="1031">
        <f>E17+G67</f>
        <v>0</v>
      </c>
      <c r="H17" s="996" t="str">
        <f t="shared" si="5"/>
        <v/>
      </c>
      <c r="I17" s="997">
        <f>G17+I67</f>
        <v>0</v>
      </c>
      <c r="J17" s="996" t="str">
        <f t="shared" si="5"/>
        <v/>
      </c>
      <c r="K17" s="997">
        <f>I17+K67</f>
        <v>0</v>
      </c>
      <c r="L17" s="996" t="str">
        <f t="shared" si="41"/>
        <v/>
      </c>
      <c r="M17" s="997">
        <f>K17+M67</f>
        <v>0</v>
      </c>
      <c r="N17" s="996" t="str">
        <f t="shared" si="42"/>
        <v/>
      </c>
      <c r="O17" s="997">
        <f>M17+O67</f>
        <v>0</v>
      </c>
      <c r="P17" s="998" t="str">
        <f t="shared" si="43"/>
        <v/>
      </c>
      <c r="AL17" s="100"/>
    </row>
    <row r="18" spans="1:38" s="4" customFormat="1" ht="18" customHeight="1" x14ac:dyDescent="0.2">
      <c r="A18" s="992"/>
      <c r="B18" s="2109" t="s">
        <v>443</v>
      </c>
      <c r="C18" s="1753"/>
      <c r="D18" s="1662"/>
      <c r="E18" s="535">
        <f>'財務諸表（入力）'!J102+'財務諸表（入力）'!J142</f>
        <v>0</v>
      </c>
      <c r="F18" s="1000" t="str">
        <f t="shared" si="4"/>
        <v/>
      </c>
      <c r="G18" s="1032"/>
      <c r="H18" s="1002" t="str">
        <f t="shared" si="5"/>
        <v/>
      </c>
      <c r="I18" s="1033"/>
      <c r="J18" s="1002" t="str">
        <f t="shared" si="5"/>
        <v/>
      </c>
      <c r="K18" s="1033"/>
      <c r="L18" s="1002" t="str">
        <f t="shared" si="41"/>
        <v/>
      </c>
      <c r="M18" s="1033"/>
      <c r="N18" s="1002" t="str">
        <f t="shared" si="42"/>
        <v/>
      </c>
      <c r="O18" s="1033"/>
      <c r="P18" s="1004" t="str">
        <f t="shared" si="43"/>
        <v/>
      </c>
      <c r="AL18" s="100"/>
    </row>
    <row r="19" spans="1:38" s="4" customFormat="1" ht="18" customHeight="1" x14ac:dyDescent="0.2">
      <c r="A19" s="992"/>
      <c r="B19" s="2109" t="s">
        <v>539</v>
      </c>
      <c r="C19" s="1753"/>
      <c r="D19" s="1662"/>
      <c r="E19" s="535">
        <f>SUMIF('財務諸表（入力）'!C104:C116,"F",'財務諸表（入力）'!J104:J116)</f>
        <v>0</v>
      </c>
      <c r="F19" s="1006" t="str">
        <f t="shared" si="4"/>
        <v/>
      </c>
      <c r="G19" s="1007">
        <f>E19+G71</f>
        <v>0</v>
      </c>
      <c r="H19" s="1008" t="str">
        <f t="shared" si="5"/>
        <v/>
      </c>
      <c r="I19" s="1009">
        <f>G19+I71</f>
        <v>0</v>
      </c>
      <c r="J19" s="1008" t="str">
        <f t="shared" si="5"/>
        <v/>
      </c>
      <c r="K19" s="1009">
        <f>I19+K71</f>
        <v>0</v>
      </c>
      <c r="L19" s="1008" t="str">
        <f t="shared" si="41"/>
        <v/>
      </c>
      <c r="M19" s="1009">
        <f>K19+M71</f>
        <v>0</v>
      </c>
      <c r="N19" s="1008" t="str">
        <f t="shared" si="42"/>
        <v/>
      </c>
      <c r="O19" s="1009">
        <f>M19+O71</f>
        <v>0</v>
      </c>
      <c r="P19" s="1010" t="str">
        <f t="shared" si="43"/>
        <v/>
      </c>
      <c r="AL19" s="100"/>
    </row>
    <row r="20" spans="1:38" s="4" customFormat="1" ht="18" customHeight="1" x14ac:dyDescent="0.2">
      <c r="A20" s="992"/>
      <c r="B20" s="2109" t="s">
        <v>303</v>
      </c>
      <c r="C20" s="1753"/>
      <c r="D20" s="1662"/>
      <c r="E20" s="535">
        <f>SUM('財務諸表（入力）'!J138:J141)</f>
        <v>0</v>
      </c>
      <c r="F20" s="1006" t="str">
        <f t="shared" si="4"/>
        <v/>
      </c>
      <c r="G20" s="1007">
        <f>E20+G68</f>
        <v>0</v>
      </c>
      <c r="H20" s="1008" t="str">
        <f t="shared" si="5"/>
        <v/>
      </c>
      <c r="I20" s="1009">
        <f>G20+I68</f>
        <v>0</v>
      </c>
      <c r="J20" s="1008" t="str">
        <f t="shared" si="5"/>
        <v/>
      </c>
      <c r="K20" s="1009">
        <f>I20+K68</f>
        <v>0</v>
      </c>
      <c r="L20" s="1008" t="str">
        <f t="shared" si="41"/>
        <v/>
      </c>
      <c r="M20" s="1009">
        <f>K20+M68</f>
        <v>0</v>
      </c>
      <c r="N20" s="1008" t="str">
        <f t="shared" si="42"/>
        <v/>
      </c>
      <c r="O20" s="1009">
        <f>M20+O68</f>
        <v>0</v>
      </c>
      <c r="P20" s="1010" t="str">
        <f t="shared" si="43"/>
        <v/>
      </c>
      <c r="AL20" s="100"/>
    </row>
    <row r="21" spans="1:38" s="4" customFormat="1" ht="18" customHeight="1" x14ac:dyDescent="0.2">
      <c r="A21" s="992"/>
      <c r="B21" s="2110" t="s">
        <v>546</v>
      </c>
      <c r="C21" s="1624"/>
      <c r="D21" s="1625"/>
      <c r="E21" s="1012">
        <f>SUMIF('財務諸表（入力）'!C144:C155,"F",'財務諸表（入力）'!J144:J155)</f>
        <v>0</v>
      </c>
      <c r="F21" s="1000" t="str">
        <f t="shared" si="4"/>
        <v/>
      </c>
      <c r="G21" s="1001">
        <f>E21+G72</f>
        <v>0</v>
      </c>
      <c r="H21" s="1002" t="str">
        <f t="shared" si="5"/>
        <v/>
      </c>
      <c r="I21" s="1003">
        <f>G21+I72</f>
        <v>0</v>
      </c>
      <c r="J21" s="1002" t="str">
        <f t="shared" si="5"/>
        <v/>
      </c>
      <c r="K21" s="1003">
        <f>I21+K72</f>
        <v>0</v>
      </c>
      <c r="L21" s="1002" t="str">
        <f t="shared" si="41"/>
        <v/>
      </c>
      <c r="M21" s="1003">
        <f>K21+M72</f>
        <v>0</v>
      </c>
      <c r="N21" s="1002" t="str">
        <f t="shared" si="42"/>
        <v/>
      </c>
      <c r="O21" s="1003">
        <f>M21+O72</f>
        <v>0</v>
      </c>
      <c r="P21" s="1004" t="str">
        <f t="shared" si="43"/>
        <v/>
      </c>
      <c r="AL21" s="100"/>
    </row>
    <row r="22" spans="1:38" s="4" customFormat="1" ht="18" customHeight="1" x14ac:dyDescent="0.2">
      <c r="A22" s="992"/>
      <c r="B22" s="2111" t="s">
        <v>492</v>
      </c>
      <c r="C22" s="2108" t="s">
        <v>547</v>
      </c>
      <c r="D22" s="2113"/>
      <c r="E22" s="534">
        <f>'財務諸表（入力）'!J163</f>
        <v>0</v>
      </c>
      <c r="F22" s="994" t="str">
        <f t="shared" si="4"/>
        <v/>
      </c>
      <c r="G22" s="1034"/>
      <c r="H22" s="996" t="str">
        <f t="shared" si="5"/>
        <v/>
      </c>
      <c r="I22" s="1035"/>
      <c r="J22" s="996" t="str">
        <f t="shared" si="5"/>
        <v/>
      </c>
      <c r="K22" s="1035"/>
      <c r="L22" s="996" t="str">
        <f t="shared" si="41"/>
        <v/>
      </c>
      <c r="M22" s="1035"/>
      <c r="N22" s="996" t="str">
        <f t="shared" si="42"/>
        <v/>
      </c>
      <c r="O22" s="1035"/>
      <c r="P22" s="998" t="str">
        <f t="shared" si="43"/>
        <v/>
      </c>
      <c r="AL22" s="100"/>
    </row>
    <row r="23" spans="1:38" s="4" customFormat="1" ht="18" customHeight="1" x14ac:dyDescent="0.2">
      <c r="A23" s="992"/>
      <c r="B23" s="2112"/>
      <c r="C23" s="2110" t="s">
        <v>548</v>
      </c>
      <c r="D23" s="2114"/>
      <c r="E23" s="1012">
        <f>'財務諸表（入力）'!J164-'財務諸表（入力）'!J162</f>
        <v>0</v>
      </c>
      <c r="F23" s="1013" t="str">
        <f t="shared" si="4"/>
        <v/>
      </c>
      <c r="G23" s="1014">
        <f>E23+G73</f>
        <v>0</v>
      </c>
      <c r="H23" s="1015" t="str">
        <f t="shared" si="5"/>
        <v/>
      </c>
      <c r="I23" s="1016">
        <f>G23+I73</f>
        <v>0</v>
      </c>
      <c r="J23" s="1015" t="str">
        <f t="shared" si="5"/>
        <v/>
      </c>
      <c r="K23" s="1016">
        <f>I23+K73</f>
        <v>0</v>
      </c>
      <c r="L23" s="1015" t="str">
        <f t="shared" si="41"/>
        <v/>
      </c>
      <c r="M23" s="1016">
        <f>K23+M73</f>
        <v>0</v>
      </c>
      <c r="N23" s="1015" t="str">
        <f t="shared" si="42"/>
        <v/>
      </c>
      <c r="O23" s="1016">
        <f>M23+O73</f>
        <v>0</v>
      </c>
      <c r="P23" s="1017" t="str">
        <f t="shared" si="43"/>
        <v/>
      </c>
      <c r="AL23" s="100"/>
    </row>
    <row r="24" spans="1:38" s="4" customFormat="1" ht="24" customHeight="1" x14ac:dyDescent="0.2">
      <c r="A24" s="2087" t="s">
        <v>179</v>
      </c>
      <c r="B24" s="2088"/>
      <c r="C24" s="2088"/>
      <c r="D24" s="2089"/>
      <c r="E24" s="980">
        <f ca="1">E15-E16</f>
        <v>0</v>
      </c>
      <c r="F24" s="981" t="str">
        <f t="shared" ca="1" si="4"/>
        <v/>
      </c>
      <c r="G24" s="982">
        <f ca="1">G15-G16</f>
        <v>0</v>
      </c>
      <c r="H24" s="983" t="str">
        <f t="shared" ca="1" si="5"/>
        <v/>
      </c>
      <c r="I24" s="984">
        <f t="shared" ref="I24" ca="1" si="48">I15-I16</f>
        <v>0</v>
      </c>
      <c r="J24" s="983" t="str">
        <f t="shared" ca="1" si="5"/>
        <v/>
      </c>
      <c r="K24" s="984">
        <f t="shared" ref="K24" ca="1" si="49">K15-K16</f>
        <v>0</v>
      </c>
      <c r="L24" s="983" t="str">
        <f t="shared" ca="1" si="41"/>
        <v/>
      </c>
      <c r="M24" s="984">
        <f t="shared" ref="M24" ca="1" si="50">M15-M16</f>
        <v>0</v>
      </c>
      <c r="N24" s="983" t="str">
        <f t="shared" ca="1" si="42"/>
        <v/>
      </c>
      <c r="O24" s="984">
        <f t="shared" ref="O24" ca="1" si="51">O15-O16</f>
        <v>0</v>
      </c>
      <c r="P24" s="985" t="str">
        <f t="shared" ca="1" si="43"/>
        <v/>
      </c>
      <c r="AL24" s="100"/>
    </row>
    <row r="25" spans="1:38" s="4" customFormat="1" ht="18" customHeight="1" x14ac:dyDescent="0.2">
      <c r="A25" s="1036"/>
      <c r="B25" s="1037" t="s">
        <v>426</v>
      </c>
      <c r="C25" s="1038"/>
      <c r="D25" s="1039"/>
      <c r="E25" s="534">
        <f>'財務諸表（入力）'!J167</f>
        <v>0</v>
      </c>
      <c r="F25" s="994" t="str">
        <f t="shared" si="4"/>
        <v/>
      </c>
      <c r="G25" s="1034"/>
      <c r="H25" s="996" t="str">
        <f t="shared" si="5"/>
        <v/>
      </c>
      <c r="I25" s="1035"/>
      <c r="J25" s="996" t="str">
        <f t="shared" si="5"/>
        <v/>
      </c>
      <c r="K25" s="1035"/>
      <c r="L25" s="996" t="str">
        <f t="shared" si="41"/>
        <v/>
      </c>
      <c r="M25" s="1035"/>
      <c r="N25" s="996" t="str">
        <f t="shared" si="42"/>
        <v/>
      </c>
      <c r="O25" s="1035"/>
      <c r="P25" s="998" t="str">
        <f t="shared" si="43"/>
        <v/>
      </c>
      <c r="AL25" s="100"/>
    </row>
    <row r="26" spans="1:38" s="4" customFormat="1" ht="18" customHeight="1" x14ac:dyDescent="0.2">
      <c r="A26" s="1040"/>
      <c r="B26" s="1041" t="s">
        <v>510</v>
      </c>
      <c r="C26" s="1042"/>
      <c r="D26" s="1043"/>
      <c r="E26" s="1012">
        <f>'財務諸表（入力）'!J168</f>
        <v>0</v>
      </c>
      <c r="F26" s="1013" t="str">
        <f t="shared" si="4"/>
        <v/>
      </c>
      <c r="G26" s="1044"/>
      <c r="H26" s="1015" t="str">
        <f t="shared" si="5"/>
        <v/>
      </c>
      <c r="I26" s="1045"/>
      <c r="J26" s="1015" t="str">
        <f t="shared" si="5"/>
        <v/>
      </c>
      <c r="K26" s="1045"/>
      <c r="L26" s="1015" t="str">
        <f t="shared" si="41"/>
        <v/>
      </c>
      <c r="M26" s="1045"/>
      <c r="N26" s="1015" t="str">
        <f t="shared" si="42"/>
        <v/>
      </c>
      <c r="O26" s="1045"/>
      <c r="P26" s="1017" t="str">
        <f t="shared" si="43"/>
        <v/>
      </c>
      <c r="AL26" s="100"/>
    </row>
    <row r="27" spans="1:38" s="4" customFormat="1" ht="24" customHeight="1" x14ac:dyDescent="0.2">
      <c r="A27" s="2087" t="s">
        <v>549</v>
      </c>
      <c r="B27" s="2088"/>
      <c r="C27" s="2088"/>
      <c r="D27" s="2089"/>
      <c r="E27" s="980">
        <f ca="1">E24+E25-E26</f>
        <v>0</v>
      </c>
      <c r="F27" s="981" t="str">
        <f t="shared" ca="1" si="4"/>
        <v/>
      </c>
      <c r="G27" s="982">
        <f ca="1">G24+G25-G26</f>
        <v>0</v>
      </c>
      <c r="H27" s="983" t="str">
        <f t="shared" ca="1" si="5"/>
        <v/>
      </c>
      <c r="I27" s="984">
        <f t="shared" ref="I27" ca="1" si="52">I24+I25-I26</f>
        <v>0</v>
      </c>
      <c r="J27" s="983" t="str">
        <f t="shared" ca="1" si="5"/>
        <v/>
      </c>
      <c r="K27" s="984">
        <f t="shared" ref="K27" ca="1" si="53">K24+K25-K26</f>
        <v>0</v>
      </c>
      <c r="L27" s="983" t="str">
        <f t="shared" ca="1" si="41"/>
        <v/>
      </c>
      <c r="M27" s="984">
        <f t="shared" ref="M27" ca="1" si="54">M24+M25-M26</f>
        <v>0</v>
      </c>
      <c r="N27" s="983" t="str">
        <f t="shared" ca="1" si="42"/>
        <v/>
      </c>
      <c r="O27" s="984">
        <f t="shared" ref="O27" ca="1" si="55">O24+O25-O26</f>
        <v>0</v>
      </c>
      <c r="P27" s="985" t="str">
        <f t="shared" ca="1" si="43"/>
        <v/>
      </c>
      <c r="AL27" s="100"/>
    </row>
    <row r="28" spans="1:38" s="1054" customFormat="1" ht="18" customHeight="1" x14ac:dyDescent="0.2">
      <c r="A28" s="1046"/>
      <c r="B28" s="1037" t="s">
        <v>550</v>
      </c>
      <c r="C28" s="1047"/>
      <c r="D28" s="1048"/>
      <c r="E28" s="1049">
        <f>'財務諸表（入力）'!J170</f>
        <v>0</v>
      </c>
      <c r="F28" s="1050" t="str">
        <f t="shared" si="4"/>
        <v/>
      </c>
      <c r="G28" s="995">
        <f ca="1">IF(G27&lt;0,"0",G27*0.4-G29)</f>
        <v>0</v>
      </c>
      <c r="H28" s="1051" t="str">
        <f t="shared" ca="1" si="5"/>
        <v/>
      </c>
      <c r="I28" s="1052">
        <f ca="1">IF(I27&lt;0,"0",I27*0.4-I29)</f>
        <v>0</v>
      </c>
      <c r="J28" s="1051" t="str">
        <f t="shared" ca="1" si="5"/>
        <v/>
      </c>
      <c r="K28" s="1052">
        <f t="shared" ref="K28" ca="1" si="56">IF(K27&lt;0,"0",K27*0.4-K29)</f>
        <v>0</v>
      </c>
      <c r="L28" s="1051" t="str">
        <f t="shared" ca="1" si="41"/>
        <v/>
      </c>
      <c r="M28" s="1052">
        <f t="shared" ref="M28" ca="1" si="57">IF(M27&lt;0,"0",M27*0.4-M29)</f>
        <v>0</v>
      </c>
      <c r="N28" s="1051" t="str">
        <f t="shared" ca="1" si="42"/>
        <v/>
      </c>
      <c r="O28" s="1052">
        <f t="shared" ref="O28" ca="1" si="58">IF(O27&lt;0,"0",O27*0.4-O29)</f>
        <v>0</v>
      </c>
      <c r="P28" s="1053" t="str">
        <f t="shared" ca="1" si="43"/>
        <v/>
      </c>
      <c r="AL28" s="1055"/>
    </row>
    <row r="29" spans="1:38" s="4" customFormat="1" ht="18" hidden="1" customHeight="1" x14ac:dyDescent="0.2">
      <c r="A29" s="1056"/>
      <c r="B29" s="1041" t="s">
        <v>551</v>
      </c>
      <c r="C29" s="1042"/>
      <c r="D29" s="856"/>
      <c r="E29" s="1012"/>
      <c r="F29" s="1013" t="str">
        <f t="shared" si="4"/>
        <v/>
      </c>
      <c r="G29" s="1057"/>
      <c r="H29" s="1015" t="str">
        <f t="shared" si="5"/>
        <v/>
      </c>
      <c r="I29" s="1058"/>
      <c r="J29" s="1015" t="str">
        <f t="shared" si="5"/>
        <v/>
      </c>
      <c r="K29" s="1058"/>
      <c r="L29" s="1015" t="str">
        <f t="shared" si="41"/>
        <v/>
      </c>
      <c r="M29" s="1058"/>
      <c r="N29" s="1015" t="str">
        <f t="shared" si="42"/>
        <v/>
      </c>
      <c r="O29" s="1058"/>
      <c r="P29" s="1017" t="str">
        <f t="shared" si="43"/>
        <v/>
      </c>
      <c r="AL29" s="100"/>
    </row>
    <row r="30" spans="1:38" s="4" customFormat="1" ht="24" customHeight="1" thickBot="1" x14ac:dyDescent="0.25">
      <c r="A30" s="2090" t="s">
        <v>552</v>
      </c>
      <c r="B30" s="2091"/>
      <c r="C30" s="2091"/>
      <c r="D30" s="2092"/>
      <c r="E30" s="1059">
        <f ca="1">E27-E28-E29</f>
        <v>0</v>
      </c>
      <c r="F30" s="1060" t="str">
        <f t="shared" ca="1" si="4"/>
        <v/>
      </c>
      <c r="G30" s="1061">
        <f ca="1">G27-G28-G29</f>
        <v>0</v>
      </c>
      <c r="H30" s="1062" t="str">
        <f t="shared" ca="1" si="5"/>
        <v/>
      </c>
      <c r="I30" s="1063">
        <f t="shared" ref="I30" ca="1" si="59">I27-I28-I29</f>
        <v>0</v>
      </c>
      <c r="J30" s="1062" t="str">
        <f t="shared" ca="1" si="5"/>
        <v/>
      </c>
      <c r="K30" s="1063">
        <f t="shared" ref="K30" ca="1" si="60">K27-K28-K29</f>
        <v>0</v>
      </c>
      <c r="L30" s="1062" t="str">
        <f t="shared" ca="1" si="41"/>
        <v/>
      </c>
      <c r="M30" s="1063">
        <f t="shared" ref="M30" ca="1" si="61">M27-M28-M29</f>
        <v>0</v>
      </c>
      <c r="N30" s="1062" t="str">
        <f t="shared" ca="1" si="42"/>
        <v/>
      </c>
      <c r="O30" s="1063">
        <f t="shared" ref="O30" ca="1" si="62">O27-O28-O29</f>
        <v>0</v>
      </c>
      <c r="P30" s="1064" t="str">
        <f t="shared" ca="1" si="43"/>
        <v/>
      </c>
      <c r="AL30" s="100"/>
    </row>
    <row r="31" spans="1:38" s="4" customFormat="1" ht="24" customHeight="1" thickTop="1" thickBot="1" x14ac:dyDescent="0.25">
      <c r="A31" s="2093" t="s">
        <v>553</v>
      </c>
      <c r="B31" s="2094"/>
      <c r="C31" s="2094"/>
      <c r="D31" s="2095"/>
      <c r="E31" s="529">
        <f ca="1">E18+E30</f>
        <v>0</v>
      </c>
      <c r="F31" s="1065" t="str">
        <f t="shared" ca="1" si="4"/>
        <v/>
      </c>
      <c r="G31" s="1066">
        <f t="shared" ref="G31" ca="1" si="63">G18+G30</f>
        <v>0</v>
      </c>
      <c r="H31" s="1067" t="str">
        <f t="shared" ref="H31" ca="1" si="64">IF(G31=0,"",G31/G$6)</f>
        <v/>
      </c>
      <c r="I31" s="1068">
        <f t="shared" ref="I31" ca="1" si="65">I18+I30</f>
        <v>0</v>
      </c>
      <c r="J31" s="1067" t="str">
        <f t="shared" ref="J31" ca="1" si="66">IF(I31=0,"",I31/I$6)</f>
        <v/>
      </c>
      <c r="K31" s="1068">
        <f t="shared" ref="K31" ca="1" si="67">K18+K30</f>
        <v>0</v>
      </c>
      <c r="L31" s="1067" t="str">
        <f t="shared" ca="1" si="41"/>
        <v/>
      </c>
      <c r="M31" s="1068">
        <f t="shared" ref="M31" ca="1" si="68">M18+M30</f>
        <v>0</v>
      </c>
      <c r="N31" s="1067" t="str">
        <f t="shared" ca="1" si="42"/>
        <v/>
      </c>
      <c r="O31" s="1068">
        <f t="shared" ref="O31" ca="1" si="69">O18+O30</f>
        <v>0</v>
      </c>
      <c r="P31" s="1069" t="str">
        <f t="shared" ca="1" si="43"/>
        <v/>
      </c>
      <c r="AL31" s="100"/>
    </row>
    <row r="32" spans="1:38" s="4" customFormat="1" ht="24" customHeight="1" x14ac:dyDescent="0.2">
      <c r="A32" s="1070"/>
      <c r="B32" s="1071"/>
      <c r="C32" s="1071"/>
      <c r="D32" s="1071"/>
      <c r="E32" s="540"/>
      <c r="F32" s="1072"/>
      <c r="G32" s="1073"/>
      <c r="H32" s="1074"/>
      <c r="I32" s="1073"/>
      <c r="J32" s="1074"/>
      <c r="K32" s="1073"/>
      <c r="L32" s="1074"/>
      <c r="M32" s="1073"/>
      <c r="N32" s="1074"/>
      <c r="O32" s="1073"/>
      <c r="P32" s="1074"/>
      <c r="AL32" s="100"/>
    </row>
    <row r="33" spans="1:38" s="4" customFormat="1" ht="34.5" customHeight="1" x14ac:dyDescent="0.2">
      <c r="A33" s="2096" t="s">
        <v>554</v>
      </c>
      <c r="B33" s="2097"/>
      <c r="C33" s="2097"/>
      <c r="D33" s="2098"/>
      <c r="E33" s="980" t="e">
        <f ca="1">E16/F15</f>
        <v>#VALUE!</v>
      </c>
      <c r="F33" s="983" t="e">
        <f ca="1">E33/E6</f>
        <v>#VALUE!</v>
      </c>
      <c r="G33" s="980" t="e">
        <f ca="1">G16/H15</f>
        <v>#VALUE!</v>
      </c>
      <c r="H33" s="983" t="e">
        <f ca="1">G33/G6</f>
        <v>#VALUE!</v>
      </c>
      <c r="I33" s="980" t="e">
        <f t="shared" ref="I33" ca="1" si="70">I16/J15</f>
        <v>#VALUE!</v>
      </c>
      <c r="J33" s="983" t="e">
        <f ca="1">I33/I6</f>
        <v>#VALUE!</v>
      </c>
      <c r="K33" s="980" t="e">
        <f t="shared" ref="K33" ca="1" si="71">K16/L15</f>
        <v>#VALUE!</v>
      </c>
      <c r="L33" s="983" t="e">
        <f ca="1">K33/K6</f>
        <v>#VALUE!</v>
      </c>
      <c r="M33" s="980" t="e">
        <f t="shared" ref="M33" ca="1" si="72">M16/N15</f>
        <v>#VALUE!</v>
      </c>
      <c r="N33" s="983" t="e">
        <f ca="1">M33/M6</f>
        <v>#VALUE!</v>
      </c>
      <c r="O33" s="980" t="e">
        <f t="shared" ref="O33" ca="1" si="73">O16/P15</f>
        <v>#VALUE!</v>
      </c>
      <c r="P33" s="983" t="e">
        <f ca="1">O33/O6</f>
        <v>#VALUE!</v>
      </c>
      <c r="AL33" s="100"/>
    </row>
    <row r="34" spans="1:38" s="4" customFormat="1" ht="24" customHeight="1" x14ac:dyDescent="0.2">
      <c r="A34" s="2099"/>
      <c r="B34" s="2100"/>
      <c r="C34" s="2100"/>
      <c r="D34" s="2100"/>
      <c r="E34" s="529"/>
      <c r="F34" s="1074"/>
      <c r="G34" s="1073"/>
      <c r="H34" s="1074"/>
      <c r="I34" s="1073"/>
      <c r="J34" s="1074"/>
      <c r="K34" s="1073"/>
      <c r="L34" s="1074"/>
      <c r="M34" s="1073"/>
      <c r="N34" s="1074"/>
      <c r="O34" s="1073"/>
      <c r="P34" s="1074"/>
      <c r="AL34" s="100"/>
    </row>
    <row r="35" spans="1:38" s="4" customFormat="1" ht="24" customHeight="1" x14ac:dyDescent="0.2">
      <c r="A35" s="1075" t="s">
        <v>555</v>
      </c>
      <c r="B35" s="1076"/>
      <c r="C35" s="1076"/>
      <c r="D35" s="1076"/>
      <c r="E35" s="529"/>
      <c r="F35" s="1074"/>
      <c r="G35" s="1073"/>
      <c r="H35" s="1074"/>
      <c r="I35" s="1073"/>
      <c r="J35" s="1074"/>
      <c r="K35" s="1073"/>
      <c r="L35" s="1074"/>
      <c r="M35" s="1073"/>
      <c r="N35" s="1074"/>
      <c r="O35" s="1073"/>
      <c r="P35" s="1074"/>
      <c r="AL35" s="100"/>
    </row>
    <row r="36" spans="1:38" s="4" customFormat="1" ht="24" customHeight="1" x14ac:dyDescent="0.2">
      <c r="A36" s="1077"/>
      <c r="B36" s="1076"/>
      <c r="C36" s="1076"/>
      <c r="D36" s="1076"/>
      <c r="E36" s="529"/>
      <c r="F36" s="1074"/>
      <c r="G36" s="1073"/>
      <c r="H36" s="1074"/>
      <c r="I36" s="1073"/>
      <c r="J36" s="1074"/>
      <c r="K36" s="1073"/>
      <c r="L36" s="1074"/>
      <c r="M36" s="1073"/>
      <c r="N36" s="1074"/>
      <c r="O36" s="1073"/>
      <c r="P36" s="1074"/>
      <c r="AL36" s="100"/>
    </row>
    <row r="37" spans="1:38" s="4" customFormat="1" ht="24" customHeight="1" x14ac:dyDescent="0.2">
      <c r="A37" s="1077"/>
      <c r="B37" s="1076"/>
      <c r="C37" s="1076"/>
      <c r="D37" s="1076"/>
      <c r="E37" s="529"/>
      <c r="F37" s="1074"/>
      <c r="G37" s="1073"/>
      <c r="H37" s="1074"/>
      <c r="I37" s="1073"/>
      <c r="J37" s="1074"/>
      <c r="K37" s="1073"/>
      <c r="L37" s="1074"/>
      <c r="M37" s="1073"/>
      <c r="N37" s="1074"/>
      <c r="O37" s="1073"/>
      <c r="P37" s="1074"/>
      <c r="AL37" s="100"/>
    </row>
    <row r="38" spans="1:38" s="4" customFormat="1" ht="24" customHeight="1" x14ac:dyDescent="0.2">
      <c r="A38" s="1077"/>
      <c r="B38" s="1076"/>
      <c r="C38" s="1076"/>
      <c r="D38" s="1076"/>
      <c r="E38" s="529"/>
      <c r="F38" s="1074"/>
      <c r="G38" s="1073"/>
      <c r="H38" s="1074"/>
      <c r="I38" s="1073"/>
      <c r="J38" s="1074"/>
      <c r="K38" s="1073"/>
      <c r="L38" s="1074"/>
      <c r="M38" s="1073"/>
      <c r="N38" s="1074"/>
      <c r="O38" s="1073"/>
      <c r="P38" s="1074"/>
      <c r="AL38" s="100"/>
    </row>
    <row r="39" spans="1:38" s="4" customFormat="1" ht="24" customHeight="1" x14ac:dyDescent="0.2">
      <c r="A39" s="1077"/>
      <c r="B39" s="1076"/>
      <c r="C39" s="1076"/>
      <c r="D39" s="1076"/>
      <c r="E39" s="529"/>
      <c r="F39" s="1074"/>
      <c r="G39" s="1073"/>
      <c r="H39" s="1074"/>
      <c r="I39" s="1073"/>
      <c r="J39" s="1074"/>
      <c r="K39" s="1073"/>
      <c r="L39" s="1074"/>
      <c r="M39" s="1073"/>
      <c r="N39" s="1074"/>
      <c r="O39" s="1073"/>
      <c r="P39" s="1074"/>
      <c r="AL39" s="100"/>
    </row>
    <row r="40" spans="1:38" s="4" customFormat="1" ht="24" customHeight="1" x14ac:dyDescent="0.2">
      <c r="A40" s="1077"/>
      <c r="B40" s="1076"/>
      <c r="C40" s="1076"/>
      <c r="D40" s="1076"/>
      <c r="E40" s="529"/>
      <c r="F40" s="1074"/>
      <c r="G40" s="1073"/>
      <c r="H40" s="1074"/>
      <c r="I40" s="1073"/>
      <c r="J40" s="1074"/>
      <c r="K40" s="1073"/>
      <c r="L40" s="1074"/>
      <c r="M40" s="1073"/>
      <c r="N40" s="1074"/>
      <c r="O40" s="1073"/>
      <c r="P40" s="1074"/>
      <c r="AL40" s="100"/>
    </row>
    <row r="41" spans="1:38" s="4" customFormat="1" ht="24" customHeight="1" x14ac:dyDescent="0.2">
      <c r="A41" s="1077"/>
      <c r="B41" s="1076"/>
      <c r="C41" s="1076"/>
      <c r="D41" s="1076"/>
      <c r="E41" s="529"/>
      <c r="F41" s="1074"/>
      <c r="G41" s="1073"/>
      <c r="H41" s="1074"/>
      <c r="I41" s="1073"/>
      <c r="J41" s="1074"/>
      <c r="K41" s="1073"/>
      <c r="L41" s="1074"/>
      <c r="M41" s="1073"/>
      <c r="N41" s="1074"/>
      <c r="O41" s="1073"/>
      <c r="P41" s="1074"/>
      <c r="AL41" s="100"/>
    </row>
    <row r="42" spans="1:38" s="4" customFormat="1" ht="24" customHeight="1" x14ac:dyDescent="0.2">
      <c r="A42" s="1077"/>
      <c r="B42" s="1076"/>
      <c r="C42" s="1076"/>
      <c r="D42" s="1076"/>
      <c r="E42" s="529"/>
      <c r="F42" s="1074"/>
      <c r="G42" s="1073"/>
      <c r="H42" s="1074"/>
      <c r="I42" s="1073"/>
      <c r="J42" s="1074"/>
      <c r="K42" s="1073"/>
      <c r="L42" s="1074"/>
      <c r="M42" s="1073"/>
      <c r="N42" s="1074"/>
      <c r="O42" s="1073"/>
      <c r="P42" s="1074"/>
      <c r="AL42" s="100"/>
    </row>
    <row r="43" spans="1:38" s="4" customFormat="1" ht="24" customHeight="1" x14ac:dyDescent="0.2">
      <c r="A43" s="1077"/>
      <c r="B43" s="1076"/>
      <c r="C43" s="1076"/>
      <c r="D43" s="1076"/>
      <c r="E43" s="529"/>
      <c r="F43" s="1074"/>
      <c r="G43" s="1073"/>
      <c r="H43" s="1074"/>
      <c r="I43" s="1073"/>
      <c r="J43" s="1074"/>
      <c r="K43" s="1073"/>
      <c r="L43" s="1074"/>
      <c r="M43" s="1073"/>
      <c r="N43" s="1074"/>
      <c r="O43" s="1073"/>
      <c r="P43" s="1074"/>
      <c r="AL43" s="100"/>
    </row>
    <row r="44" spans="1:38" s="4" customFormat="1" ht="24" customHeight="1" x14ac:dyDescent="0.2">
      <c r="A44" s="1077"/>
      <c r="B44" s="1076"/>
      <c r="C44" s="1076"/>
      <c r="D44" s="1076"/>
      <c r="E44" s="529"/>
      <c r="F44" s="1074"/>
      <c r="G44" s="1073"/>
      <c r="H44" s="1074"/>
      <c r="I44" s="1073"/>
      <c r="J44" s="1074"/>
      <c r="K44" s="1073"/>
      <c r="L44" s="1074"/>
      <c r="M44" s="1073"/>
      <c r="N44" s="1074"/>
      <c r="O44" s="1073"/>
      <c r="P44" s="1074"/>
      <c r="AL44" s="100"/>
    </row>
    <row r="45" spans="1:38" s="4" customFormat="1" ht="24" customHeight="1" x14ac:dyDescent="0.2">
      <c r="A45" s="1077"/>
      <c r="B45" s="1076"/>
      <c r="C45" s="1076"/>
      <c r="D45" s="1076"/>
      <c r="E45" s="529"/>
      <c r="F45" s="1074"/>
      <c r="G45" s="1073"/>
      <c r="H45" s="1074"/>
      <c r="I45" s="1073"/>
      <c r="J45" s="1074"/>
      <c r="K45" s="1073"/>
      <c r="L45" s="1074"/>
      <c r="M45" s="1073"/>
      <c r="N45" s="1074"/>
      <c r="O45" s="1073"/>
      <c r="P45" s="1074"/>
      <c r="AL45" s="100"/>
    </row>
    <row r="46" spans="1:38" s="4" customFormat="1" ht="24" customHeight="1" x14ac:dyDescent="0.2">
      <c r="A46" s="1077"/>
      <c r="B46" s="1076"/>
      <c r="C46" s="1076"/>
      <c r="D46" s="1076"/>
      <c r="E46" s="529"/>
      <c r="F46" s="1074"/>
      <c r="G46" s="1073"/>
      <c r="H46" s="1074"/>
      <c r="I46" s="1073"/>
      <c r="J46" s="1074"/>
      <c r="K46" s="1073"/>
      <c r="L46" s="1074"/>
      <c r="M46" s="1073"/>
      <c r="N46" s="1074"/>
      <c r="O46" s="1073"/>
      <c r="P46" s="1074"/>
      <c r="AL46" s="100"/>
    </row>
    <row r="47" spans="1:38" s="4" customFormat="1" ht="24" customHeight="1" x14ac:dyDescent="0.2">
      <c r="A47" s="1078"/>
      <c r="B47" s="1079"/>
      <c r="C47" s="1079"/>
      <c r="D47" s="1079"/>
      <c r="E47" s="529"/>
      <c r="F47" s="1074"/>
      <c r="G47" s="1073"/>
      <c r="H47" s="1074"/>
      <c r="I47" s="1073"/>
      <c r="J47" s="1074"/>
      <c r="K47" s="1073"/>
      <c r="L47" s="1074"/>
      <c r="M47" s="1073"/>
      <c r="N47" s="1074"/>
      <c r="O47" s="1073"/>
      <c r="P47" s="1074"/>
      <c r="AL47" s="100"/>
    </row>
    <row r="48" spans="1:38" s="4" customFormat="1" ht="24" customHeight="1" x14ac:dyDescent="0.2">
      <c r="A48" s="1080" t="s">
        <v>556</v>
      </c>
      <c r="B48" s="1079"/>
      <c r="C48" s="1079"/>
      <c r="D48" s="1079"/>
      <c r="E48" s="529"/>
      <c r="F48" s="1074"/>
      <c r="G48" s="1073"/>
      <c r="H48" s="1074"/>
      <c r="I48" s="1073"/>
      <c r="J48" s="1074"/>
      <c r="K48" s="1073"/>
      <c r="L48" s="1074"/>
      <c r="M48" s="1073"/>
      <c r="N48" s="1074"/>
      <c r="O48" s="1073"/>
      <c r="P48" s="1074"/>
      <c r="AL48" s="100"/>
    </row>
    <row r="49" spans="1:38" s="4" customFormat="1" ht="24" customHeight="1" x14ac:dyDescent="0.2">
      <c r="A49" s="1078"/>
      <c r="B49" s="1079"/>
      <c r="C49" s="1079"/>
      <c r="D49" s="1079"/>
      <c r="E49" s="529"/>
      <c r="F49" s="1074"/>
      <c r="G49" s="1073"/>
      <c r="H49" s="1074"/>
      <c r="I49" s="1073"/>
      <c r="J49" s="1074"/>
      <c r="K49" s="1073"/>
      <c r="L49" s="1074"/>
      <c r="M49" s="1073"/>
      <c r="N49" s="1074"/>
      <c r="O49" s="1073"/>
      <c r="P49" s="1074"/>
      <c r="AL49" s="100"/>
    </row>
    <row r="50" spans="1:38" s="4" customFormat="1" ht="18" customHeight="1" x14ac:dyDescent="0.2">
      <c r="A50" s="2078" t="s">
        <v>557</v>
      </c>
      <c r="B50" s="2079"/>
      <c r="C50" s="2079"/>
      <c r="D50" s="2079"/>
      <c r="E50" s="1081"/>
      <c r="F50" s="1074"/>
      <c r="G50" s="1081" t="s">
        <v>558</v>
      </c>
      <c r="H50" s="1074"/>
      <c r="I50" s="1081"/>
      <c r="J50" s="1074"/>
      <c r="K50" s="1081"/>
      <c r="L50" s="1074"/>
      <c r="M50" s="1081"/>
      <c r="N50" s="1074"/>
      <c r="O50" s="1081"/>
      <c r="P50" s="1074"/>
      <c r="AL50" s="100"/>
    </row>
    <row r="51" spans="1:38" s="4" customFormat="1" ht="18" customHeight="1" x14ac:dyDescent="0.2">
      <c r="A51" s="2082" t="s">
        <v>157</v>
      </c>
      <c r="B51" s="2077"/>
      <c r="C51" s="2077"/>
      <c r="D51" s="2077"/>
      <c r="E51" s="980">
        <f>E6</f>
        <v>0</v>
      </c>
      <c r="F51" s="1082" t="s">
        <v>231</v>
      </c>
      <c r="G51" s="1083"/>
      <c r="H51" s="1082" t="s">
        <v>231</v>
      </c>
      <c r="I51" s="1083"/>
      <c r="J51" s="1082" t="s">
        <v>231</v>
      </c>
      <c r="K51" s="1083"/>
      <c r="L51" s="1082" t="s">
        <v>231</v>
      </c>
      <c r="M51" s="1083"/>
      <c r="N51" s="1082" t="s">
        <v>231</v>
      </c>
      <c r="O51" s="1083"/>
      <c r="P51" s="1082" t="s">
        <v>231</v>
      </c>
      <c r="AL51" s="100"/>
    </row>
    <row r="52" spans="1:38" s="4" customFormat="1" ht="18" customHeight="1" x14ac:dyDescent="0.2">
      <c r="A52" s="1084"/>
      <c r="B52" s="1085"/>
      <c r="C52" s="1085"/>
      <c r="D52" s="1086"/>
      <c r="E52" s="529"/>
      <c r="F52" s="1074"/>
      <c r="G52" s="1087"/>
      <c r="H52" s="1074"/>
      <c r="I52" s="1087"/>
      <c r="J52" s="1074"/>
      <c r="K52" s="1087"/>
      <c r="L52" s="1074"/>
      <c r="M52" s="1087"/>
      <c r="N52" s="1074"/>
      <c r="O52" s="1087"/>
      <c r="P52" s="1074"/>
      <c r="AL52" s="100"/>
    </row>
    <row r="53" spans="1:38" s="4" customFormat="1" ht="18" customHeight="1" x14ac:dyDescent="0.2">
      <c r="A53" s="2078" t="s">
        <v>559</v>
      </c>
      <c r="B53" s="2079"/>
      <c r="C53" s="2079"/>
      <c r="D53" s="2079"/>
      <c r="F53" s="1074"/>
      <c r="G53" s="1081" t="s">
        <v>560</v>
      </c>
      <c r="H53" s="1074"/>
      <c r="I53" s="1081"/>
      <c r="J53" s="1074"/>
      <c r="K53" s="1081"/>
      <c r="L53" s="1074"/>
      <c r="M53" s="1081"/>
      <c r="N53" s="1074"/>
      <c r="O53" s="1081"/>
      <c r="P53" s="1074"/>
      <c r="AL53" s="100"/>
    </row>
    <row r="54" spans="1:38" s="4" customFormat="1" ht="18" customHeight="1" x14ac:dyDescent="0.2">
      <c r="A54" s="2080" t="s">
        <v>188</v>
      </c>
      <c r="B54" s="2081"/>
      <c r="C54" s="2081"/>
      <c r="D54" s="2081"/>
      <c r="E54" s="997">
        <f>E8</f>
        <v>0</v>
      </c>
      <c r="F54" s="996" t="str">
        <f>F8</f>
        <v/>
      </c>
      <c r="G54" s="1088"/>
      <c r="H54" s="996" t="str">
        <f>IF(G54="",F54,F54+G54)</f>
        <v/>
      </c>
      <c r="I54" s="1088"/>
      <c r="J54" s="996" t="str">
        <f t="shared" ref="J54:J58" si="74">IF(I54="",H54,H54+I54)</f>
        <v/>
      </c>
      <c r="K54" s="1088"/>
      <c r="L54" s="996" t="str">
        <f t="shared" ref="L54:L58" si="75">IF(K54="",J54,J54+K54)</f>
        <v/>
      </c>
      <c r="M54" s="1088"/>
      <c r="N54" s="996" t="str">
        <f t="shared" ref="N54:N58" si="76">IF(M54="",L54,L54+M54)</f>
        <v/>
      </c>
      <c r="O54" s="1088"/>
      <c r="P54" s="996" t="str">
        <f t="shared" ref="P54:P58" si="77">IF(O54="",N54,N54+O54)</f>
        <v/>
      </c>
      <c r="AL54" s="100"/>
    </row>
    <row r="55" spans="1:38" s="4" customFormat="1" ht="18" customHeight="1" x14ac:dyDescent="0.2">
      <c r="A55" s="2085" t="s">
        <v>561</v>
      </c>
      <c r="B55" s="2086"/>
      <c r="C55" s="2086"/>
      <c r="D55" s="2086"/>
      <c r="E55" s="1009">
        <f t="shared" ref="E55:F57" si="78">E10</f>
        <v>0</v>
      </c>
      <c r="F55" s="1008" t="str">
        <f t="shared" si="78"/>
        <v/>
      </c>
      <c r="G55" s="1089"/>
      <c r="H55" s="1008" t="str">
        <f t="shared" ref="H55:H58" si="79">IF(G55="",F55,F55+G55)</f>
        <v/>
      </c>
      <c r="I55" s="1089"/>
      <c r="J55" s="1008" t="str">
        <f t="shared" si="74"/>
        <v/>
      </c>
      <c r="K55" s="1089"/>
      <c r="L55" s="1008" t="str">
        <f t="shared" si="75"/>
        <v/>
      </c>
      <c r="M55" s="1089"/>
      <c r="N55" s="1008" t="str">
        <f t="shared" si="76"/>
        <v/>
      </c>
      <c r="O55" s="1089"/>
      <c r="P55" s="1008" t="str">
        <f t="shared" si="77"/>
        <v/>
      </c>
      <c r="AL55" s="100"/>
    </row>
    <row r="56" spans="1:38" s="4" customFormat="1" ht="18" customHeight="1" x14ac:dyDescent="0.2">
      <c r="A56" s="2085" t="s">
        <v>539</v>
      </c>
      <c r="B56" s="2086"/>
      <c r="C56" s="2086"/>
      <c r="D56" s="2086"/>
      <c r="E56" s="1009">
        <f t="shared" si="78"/>
        <v>0</v>
      </c>
      <c r="F56" s="1090" t="str">
        <f t="shared" si="78"/>
        <v/>
      </c>
      <c r="G56" s="1091"/>
      <c r="H56" s="1090" t="str">
        <f t="shared" si="79"/>
        <v/>
      </c>
      <c r="I56" s="1091"/>
      <c r="J56" s="1090" t="str">
        <f t="shared" si="74"/>
        <v/>
      </c>
      <c r="K56" s="1091"/>
      <c r="L56" s="1090" t="str">
        <f t="shared" si="75"/>
        <v/>
      </c>
      <c r="M56" s="1091"/>
      <c r="N56" s="1090" t="str">
        <f t="shared" si="76"/>
        <v/>
      </c>
      <c r="O56" s="1091"/>
      <c r="P56" s="1090" t="str">
        <f t="shared" si="77"/>
        <v/>
      </c>
      <c r="AL56" s="100"/>
    </row>
    <row r="57" spans="1:38" s="4" customFormat="1" ht="18" customHeight="1" x14ac:dyDescent="0.2">
      <c r="A57" s="2074" t="s">
        <v>562</v>
      </c>
      <c r="B57" s="2075"/>
      <c r="C57" s="2075"/>
      <c r="D57" s="2075"/>
      <c r="E57" s="1016">
        <f t="shared" si="78"/>
        <v>0</v>
      </c>
      <c r="F57" s="1015" t="str">
        <f t="shared" si="78"/>
        <v/>
      </c>
      <c r="G57" s="1092"/>
      <c r="H57" s="1015" t="str">
        <f t="shared" si="79"/>
        <v/>
      </c>
      <c r="I57" s="1092"/>
      <c r="J57" s="1015" t="str">
        <f t="shared" si="74"/>
        <v/>
      </c>
      <c r="K57" s="1092"/>
      <c r="L57" s="1015" t="str">
        <f t="shared" si="75"/>
        <v/>
      </c>
      <c r="M57" s="1092"/>
      <c r="N57" s="1015" t="str">
        <f t="shared" si="76"/>
        <v/>
      </c>
      <c r="O57" s="1092"/>
      <c r="P57" s="1015" t="str">
        <f t="shared" si="77"/>
        <v/>
      </c>
      <c r="AL57" s="100"/>
    </row>
    <row r="58" spans="1:38" s="4" customFormat="1" ht="18" customHeight="1" x14ac:dyDescent="0.2">
      <c r="A58" s="2076" t="s">
        <v>181</v>
      </c>
      <c r="B58" s="2077"/>
      <c r="C58" s="2077"/>
      <c r="D58" s="2077"/>
      <c r="E58" s="984">
        <f>E14</f>
        <v>0</v>
      </c>
      <c r="F58" s="983" t="str">
        <f>F14</f>
        <v/>
      </c>
      <c r="G58" s="1083"/>
      <c r="H58" s="1015" t="str">
        <f t="shared" si="79"/>
        <v/>
      </c>
      <c r="I58" s="1083"/>
      <c r="J58" s="1015" t="str">
        <f t="shared" si="74"/>
        <v/>
      </c>
      <c r="K58" s="1083"/>
      <c r="L58" s="1015" t="str">
        <f t="shared" si="75"/>
        <v/>
      </c>
      <c r="M58" s="1083"/>
      <c r="N58" s="1015" t="str">
        <f t="shared" si="76"/>
        <v/>
      </c>
      <c r="O58" s="1083"/>
      <c r="P58" s="1015" t="str">
        <f t="shared" si="77"/>
        <v/>
      </c>
      <c r="AL58" s="100"/>
    </row>
    <row r="59" spans="1:38" s="4" customFormat="1" ht="18" customHeight="1" x14ac:dyDescent="0.2">
      <c r="A59" s="524"/>
      <c r="B59" s="1093"/>
      <c r="C59" s="1093"/>
      <c r="D59" s="1093"/>
      <c r="E59" s="1073"/>
      <c r="F59" s="1074"/>
      <c r="G59" s="1087"/>
      <c r="H59" s="1074"/>
      <c r="I59" s="1087"/>
      <c r="J59" s="1074"/>
      <c r="K59" s="1087"/>
      <c r="L59" s="1074"/>
      <c r="M59" s="1087"/>
      <c r="N59" s="1074"/>
      <c r="O59" s="1087"/>
      <c r="P59" s="1074"/>
      <c r="AL59" s="100"/>
    </row>
    <row r="60" spans="1:38" s="4" customFormat="1" ht="18" customHeight="1" x14ac:dyDescent="0.2">
      <c r="A60" s="2078" t="s">
        <v>563</v>
      </c>
      <c r="B60" s="2079"/>
      <c r="C60" s="2079"/>
      <c r="D60" s="2079"/>
      <c r="E60" s="529"/>
      <c r="F60" s="1074"/>
      <c r="G60" s="1081" t="s">
        <v>564</v>
      </c>
      <c r="H60" s="1074"/>
      <c r="I60" s="1073"/>
      <c r="J60" s="1074"/>
      <c r="K60" s="1073"/>
      <c r="L60" s="1074"/>
      <c r="M60" s="1073"/>
      <c r="N60" s="1074"/>
      <c r="O60" s="1073"/>
      <c r="P60" s="1074"/>
      <c r="AL60" s="100"/>
    </row>
    <row r="61" spans="1:38" s="4" customFormat="1" ht="18" customHeight="1" x14ac:dyDescent="0.2">
      <c r="A61" s="2080" t="s">
        <v>565</v>
      </c>
      <c r="B61" s="2081"/>
      <c r="C61" s="2081"/>
      <c r="D61" s="2081"/>
      <c r="E61" s="534">
        <f>'財務諸表（入力）'!J16</f>
        <v>0</v>
      </c>
      <c r="F61" s="996"/>
      <c r="G61" s="997">
        <f>G6/12*G62</f>
        <v>0</v>
      </c>
      <c r="H61" s="996"/>
      <c r="I61" s="997">
        <f>I6/12*I62</f>
        <v>0</v>
      </c>
      <c r="J61" s="996"/>
      <c r="K61" s="997">
        <f>K6/12*K62</f>
        <v>0</v>
      </c>
      <c r="L61" s="996"/>
      <c r="M61" s="997">
        <f>M6/12*M62</f>
        <v>0</v>
      </c>
      <c r="N61" s="996"/>
      <c r="O61" s="997">
        <f>O6/12*O62</f>
        <v>0</v>
      </c>
      <c r="P61" s="996"/>
      <c r="AL61" s="100"/>
    </row>
    <row r="62" spans="1:38" s="4" customFormat="1" ht="18" customHeight="1" x14ac:dyDescent="0.2">
      <c r="A62" s="2074" t="s">
        <v>566</v>
      </c>
      <c r="B62" s="2075"/>
      <c r="C62" s="2075"/>
      <c r="D62" s="2075"/>
      <c r="E62" s="1094" t="e">
        <f>E61/(E6/12)</f>
        <v>#DIV/0!</v>
      </c>
      <c r="F62" s="1015"/>
      <c r="G62" s="1095"/>
      <c r="H62" s="1015"/>
      <c r="I62" s="1095"/>
      <c r="J62" s="1015"/>
      <c r="K62" s="1095"/>
      <c r="L62" s="1015"/>
      <c r="M62" s="1095"/>
      <c r="N62" s="1015"/>
      <c r="O62" s="1095"/>
      <c r="P62" s="1015"/>
      <c r="AL62" s="100"/>
    </row>
    <row r="63" spans="1:38" s="4" customFormat="1" ht="18" customHeight="1" x14ac:dyDescent="0.2">
      <c r="A63" s="1084"/>
      <c r="B63" s="1085"/>
      <c r="C63" s="1085"/>
      <c r="D63" s="1085"/>
      <c r="E63" s="529"/>
      <c r="F63" s="1074"/>
      <c r="G63" s="1073"/>
      <c r="H63" s="1074"/>
      <c r="I63" s="1073"/>
      <c r="J63" s="1074"/>
      <c r="K63" s="1073"/>
      <c r="L63" s="1074"/>
      <c r="M63" s="1073"/>
      <c r="N63" s="1074"/>
      <c r="O63" s="1073"/>
      <c r="P63" s="1074"/>
      <c r="AL63" s="100"/>
    </row>
    <row r="64" spans="1:38" s="4" customFormat="1" ht="18" customHeight="1" x14ac:dyDescent="0.2">
      <c r="A64" s="2078" t="s">
        <v>567</v>
      </c>
      <c r="B64" s="2079"/>
      <c r="C64" s="2079"/>
      <c r="D64" s="2079"/>
      <c r="F64" s="1074"/>
      <c r="G64" s="1081" t="s">
        <v>560</v>
      </c>
      <c r="H64" s="1074"/>
      <c r="I64" s="1073"/>
      <c r="J64" s="1074"/>
      <c r="K64" s="1073"/>
      <c r="L64" s="1074"/>
      <c r="M64" s="1073"/>
      <c r="N64" s="1074"/>
      <c r="O64" s="1073"/>
      <c r="P64" s="1074"/>
      <c r="AL64" s="100"/>
    </row>
    <row r="65" spans="1:38" s="4" customFormat="1" ht="18" customHeight="1" x14ac:dyDescent="0.2">
      <c r="A65" s="2082" t="s">
        <v>535</v>
      </c>
      <c r="B65" s="2077"/>
      <c r="C65" s="2077"/>
      <c r="D65" s="2077"/>
      <c r="E65" s="980">
        <f ca="1">E9</f>
        <v>0</v>
      </c>
      <c r="F65" s="983" t="str">
        <f ca="1">F9</f>
        <v/>
      </c>
      <c r="G65" s="1083"/>
      <c r="H65" s="983" t="str">
        <f ca="1">IF(G65="",F65,F65+G65)</f>
        <v/>
      </c>
      <c r="I65" s="1083"/>
      <c r="J65" s="983" t="str">
        <f ca="1">IF(I65="",H65,H65+I65)</f>
        <v/>
      </c>
      <c r="K65" s="1083"/>
      <c r="L65" s="983" t="str">
        <f ca="1">IF(K65="",J65,J65+K65)</f>
        <v/>
      </c>
      <c r="M65" s="1083"/>
      <c r="N65" s="983" t="str">
        <f t="shared" ref="N65" ca="1" si="80">IF(M65="",L65,L65+M65)</f>
        <v/>
      </c>
      <c r="O65" s="1083"/>
      <c r="P65" s="983" t="str">
        <f t="shared" ref="P65" ca="1" si="81">IF(O65="",N65,N65+O65)</f>
        <v/>
      </c>
      <c r="AL65" s="100"/>
    </row>
    <row r="66" spans="1:38" s="4" customFormat="1" ht="18" customHeight="1" x14ac:dyDescent="0.2">
      <c r="A66" s="1096"/>
      <c r="B66" s="1097"/>
      <c r="C66" s="1097"/>
      <c r="D66" s="1097"/>
      <c r="F66" s="1074"/>
      <c r="G66" s="1081" t="s">
        <v>568</v>
      </c>
      <c r="H66" s="1074"/>
      <c r="I66" s="1073"/>
      <c r="J66" s="1074"/>
      <c r="K66" s="1073"/>
      <c r="L66" s="1074"/>
      <c r="M66" s="1073"/>
      <c r="N66" s="1074"/>
      <c r="O66" s="1073"/>
      <c r="P66" s="1074"/>
      <c r="AL66" s="100"/>
    </row>
    <row r="67" spans="1:38" s="4" customFormat="1" ht="18" customHeight="1" x14ac:dyDescent="0.2">
      <c r="A67" s="2083" t="s">
        <v>545</v>
      </c>
      <c r="B67" s="2084"/>
      <c r="C67" s="2084"/>
      <c r="D67" s="2084"/>
      <c r="E67" s="534">
        <f>E17</f>
        <v>0</v>
      </c>
      <c r="F67" s="996" t="str">
        <f>F17</f>
        <v/>
      </c>
      <c r="G67" s="1035"/>
      <c r="H67" s="1098" t="s">
        <v>234</v>
      </c>
      <c r="I67" s="1035"/>
      <c r="J67" s="1098" t="s">
        <v>234</v>
      </c>
      <c r="K67" s="1035"/>
      <c r="L67" s="1098" t="s">
        <v>234</v>
      </c>
      <c r="M67" s="1035"/>
      <c r="N67" s="1098" t="s">
        <v>234</v>
      </c>
      <c r="O67" s="1035"/>
      <c r="P67" s="1098" t="s">
        <v>234</v>
      </c>
      <c r="AL67" s="100"/>
    </row>
    <row r="68" spans="1:38" s="4" customFormat="1" ht="18" customHeight="1" x14ac:dyDescent="0.2">
      <c r="A68" s="2074" t="s">
        <v>303</v>
      </c>
      <c r="B68" s="2075"/>
      <c r="C68" s="2075"/>
      <c r="D68" s="2075"/>
      <c r="E68" s="1012">
        <f>E20</f>
        <v>0</v>
      </c>
      <c r="F68" s="1015" t="str">
        <f>F20</f>
        <v/>
      </c>
      <c r="G68" s="1045"/>
      <c r="H68" s="1099" t="s">
        <v>234</v>
      </c>
      <c r="I68" s="1045"/>
      <c r="J68" s="1099" t="s">
        <v>234</v>
      </c>
      <c r="K68" s="1045"/>
      <c r="L68" s="1099" t="s">
        <v>234</v>
      </c>
      <c r="M68" s="1045"/>
      <c r="N68" s="1099" t="s">
        <v>234</v>
      </c>
      <c r="O68" s="1045"/>
      <c r="P68" s="1099" t="s">
        <v>234</v>
      </c>
      <c r="AL68" s="100"/>
    </row>
    <row r="69" spans="1:38" s="4" customFormat="1" ht="18" customHeight="1" x14ac:dyDescent="0.2">
      <c r="A69" s="1086"/>
      <c r="B69" s="1093"/>
      <c r="C69" s="1093"/>
      <c r="D69" s="1093"/>
      <c r="E69" s="529"/>
      <c r="F69" s="1074"/>
      <c r="G69" s="1073"/>
      <c r="H69" s="1074"/>
      <c r="I69" s="1073"/>
      <c r="J69" s="1074"/>
      <c r="K69" s="1073"/>
      <c r="L69" s="1074"/>
      <c r="M69" s="1073"/>
      <c r="N69" s="1074"/>
      <c r="O69" s="1073"/>
      <c r="P69" s="1074"/>
      <c r="AL69" s="100"/>
    </row>
    <row r="70" spans="1:38" s="4" customFormat="1" ht="18" customHeight="1" x14ac:dyDescent="0.2">
      <c r="A70" s="2078" t="s">
        <v>569</v>
      </c>
      <c r="B70" s="2079"/>
      <c r="C70" s="2079"/>
      <c r="D70" s="2079"/>
      <c r="F70" s="1074"/>
      <c r="G70" s="1081" t="s">
        <v>568</v>
      </c>
      <c r="H70" s="1074"/>
      <c r="I70" s="1081"/>
      <c r="J70" s="1074"/>
      <c r="K70" s="1081"/>
      <c r="L70" s="1074"/>
      <c r="M70" s="1081"/>
      <c r="N70" s="1074"/>
      <c r="O70" s="1081"/>
      <c r="P70" s="1074"/>
      <c r="AL70" s="100"/>
    </row>
    <row r="71" spans="1:38" s="4" customFormat="1" ht="18" customHeight="1" x14ac:dyDescent="0.2">
      <c r="A71" s="2080" t="s">
        <v>539</v>
      </c>
      <c r="B71" s="2081"/>
      <c r="C71" s="2081"/>
      <c r="D71" s="2081"/>
      <c r="E71" s="534">
        <f>E19</f>
        <v>0</v>
      </c>
      <c r="F71" s="996" t="str">
        <f>F19</f>
        <v/>
      </c>
      <c r="G71" s="1035"/>
      <c r="H71" s="1098" t="s">
        <v>231</v>
      </c>
      <c r="I71" s="1035"/>
      <c r="J71" s="1098" t="s">
        <v>231</v>
      </c>
      <c r="K71" s="1035"/>
      <c r="L71" s="1098" t="s">
        <v>231</v>
      </c>
      <c r="M71" s="1035"/>
      <c r="N71" s="1098" t="s">
        <v>231</v>
      </c>
      <c r="O71" s="1035"/>
      <c r="P71" s="1098" t="s">
        <v>231</v>
      </c>
      <c r="AL71" s="100"/>
    </row>
    <row r="72" spans="1:38" s="4" customFormat="1" ht="18" customHeight="1" x14ac:dyDescent="0.2">
      <c r="A72" s="2085" t="s">
        <v>546</v>
      </c>
      <c r="B72" s="2086"/>
      <c r="C72" s="2086"/>
      <c r="D72" s="2086"/>
      <c r="E72" s="535">
        <f>E21</f>
        <v>0</v>
      </c>
      <c r="F72" s="1008" t="str">
        <f>F21</f>
        <v/>
      </c>
      <c r="G72" s="1100"/>
      <c r="H72" s="1101" t="s">
        <v>231</v>
      </c>
      <c r="I72" s="1100"/>
      <c r="J72" s="1101" t="s">
        <v>231</v>
      </c>
      <c r="K72" s="1100"/>
      <c r="L72" s="1101" t="s">
        <v>231</v>
      </c>
      <c r="M72" s="1100"/>
      <c r="N72" s="1101" t="s">
        <v>231</v>
      </c>
      <c r="O72" s="1100"/>
      <c r="P72" s="1101" t="s">
        <v>231</v>
      </c>
      <c r="AL72" s="100"/>
    </row>
    <row r="73" spans="1:38" s="4" customFormat="1" ht="18" customHeight="1" x14ac:dyDescent="0.2">
      <c r="A73" s="2074" t="s">
        <v>548</v>
      </c>
      <c r="B73" s="2075"/>
      <c r="C73" s="2075"/>
      <c r="D73" s="2075"/>
      <c r="E73" s="1012">
        <f>E23</f>
        <v>0</v>
      </c>
      <c r="F73" s="1015" t="str">
        <f>F23</f>
        <v/>
      </c>
      <c r="G73" s="1045"/>
      <c r="H73" s="1099" t="s">
        <v>231</v>
      </c>
      <c r="I73" s="1045"/>
      <c r="J73" s="1099" t="s">
        <v>231</v>
      </c>
      <c r="K73" s="1045"/>
      <c r="L73" s="1099" t="s">
        <v>231</v>
      </c>
      <c r="M73" s="1045"/>
      <c r="N73" s="1099" t="s">
        <v>231</v>
      </c>
      <c r="O73" s="1045"/>
      <c r="P73" s="1099" t="s">
        <v>231</v>
      </c>
      <c r="AL73" s="100"/>
    </row>
    <row r="74" spans="1:38" s="4" customFormat="1" ht="23.25" customHeight="1" x14ac:dyDescent="0.2">
      <c r="A74" s="1102"/>
      <c r="B74" s="1103"/>
      <c r="C74" s="1103"/>
      <c r="D74" s="1103"/>
      <c r="E74" s="529"/>
      <c r="F74" s="1074"/>
      <c r="G74" s="1073"/>
      <c r="H74" s="1104"/>
      <c r="I74" s="1073"/>
      <c r="J74" s="1104"/>
      <c r="K74" s="1073"/>
      <c r="L74" s="1104"/>
      <c r="M74" s="1073"/>
      <c r="N74" s="1104"/>
      <c r="O74" s="1073"/>
      <c r="P74" s="1104"/>
      <c r="AL74" s="100"/>
    </row>
    <row r="75" spans="1:38" s="4" customFormat="1" ht="23.25" customHeight="1" x14ac:dyDescent="0.2">
      <c r="A75" s="100"/>
      <c r="B75" s="100"/>
      <c r="C75" s="100"/>
      <c r="D75" s="321"/>
      <c r="E75" s="529"/>
      <c r="F75" s="658"/>
      <c r="G75" s="785"/>
      <c r="H75" s="658"/>
      <c r="I75" s="785"/>
      <c r="J75" s="658"/>
      <c r="K75" s="785"/>
      <c r="L75" s="658"/>
      <c r="M75" s="785"/>
      <c r="N75" s="658"/>
      <c r="O75" s="785"/>
      <c r="P75" s="658"/>
      <c r="AL75" s="100"/>
    </row>
  </sheetData>
  <sheetProtection selectLockedCells="1"/>
  <mergeCells count="50">
    <mergeCell ref="E3:F4"/>
    <mergeCell ref="G3:P3"/>
    <mergeCell ref="G4:H4"/>
    <mergeCell ref="I4:J4"/>
    <mergeCell ref="K4:L4"/>
    <mergeCell ref="M4:N4"/>
    <mergeCell ref="O4:P4"/>
    <mergeCell ref="A5:D5"/>
    <mergeCell ref="A6:D6"/>
    <mergeCell ref="A7:D7"/>
    <mergeCell ref="B8:B13"/>
    <mergeCell ref="C8:C11"/>
    <mergeCell ref="C12:D12"/>
    <mergeCell ref="C13:D13"/>
    <mergeCell ref="A24:D24"/>
    <mergeCell ref="B14:D14"/>
    <mergeCell ref="A15:D15"/>
    <mergeCell ref="A16:D16"/>
    <mergeCell ref="B17:D17"/>
    <mergeCell ref="B18:D18"/>
    <mergeCell ref="B19:D19"/>
    <mergeCell ref="B20:D20"/>
    <mergeCell ref="B21:D21"/>
    <mergeCell ref="B22:B23"/>
    <mergeCell ref="C22:D22"/>
    <mergeCell ref="C23:D23"/>
    <mergeCell ref="A57:D57"/>
    <mergeCell ref="A27:D27"/>
    <mergeCell ref="A30:D30"/>
    <mergeCell ref="A31:D31"/>
    <mergeCell ref="A33:D33"/>
    <mergeCell ref="A34:D34"/>
    <mergeCell ref="A50:D50"/>
    <mergeCell ref="A51:D51"/>
    <mergeCell ref="A53:D53"/>
    <mergeCell ref="A54:D54"/>
    <mergeCell ref="A55:D55"/>
    <mergeCell ref="A56:D56"/>
    <mergeCell ref="A73:D73"/>
    <mergeCell ref="A58:D58"/>
    <mergeCell ref="A60:D60"/>
    <mergeCell ref="A61:D61"/>
    <mergeCell ref="A62:D62"/>
    <mergeCell ref="A64:D64"/>
    <mergeCell ref="A65:D65"/>
    <mergeCell ref="A67:D67"/>
    <mergeCell ref="A68:D68"/>
    <mergeCell ref="A70:D70"/>
    <mergeCell ref="A71:D71"/>
    <mergeCell ref="A72:D72"/>
  </mergeCells>
  <phoneticPr fontId="2"/>
  <printOptions horizontalCentered="1"/>
  <pageMargins left="0.39370078740157483" right="0.39370078740157483" top="0.39370078740157483" bottom="0.39370078740157483" header="0.51181102362204722" footer="0.31496062992125984"/>
  <pageSetup paperSize="8" scale="53" orientation="portrait" r:id="rId1"/>
  <headerFooter alignWithMargins="0"/>
  <ignoredErrors>
    <ignoredError sqref="O6:P6 E33 O33:P33 E62" evalError="1"/>
    <ignoredError sqref="H6:N6 H13:P13 F33:N33" evalError="1" formula="1"/>
    <ignoredError sqref="F7:P12 F14:P14 F13 F15:O3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54"/>
  <sheetViews>
    <sheetView zoomScale="85" zoomScaleNormal="85" workbookViewId="0"/>
  </sheetViews>
  <sheetFormatPr defaultRowHeight="13.2" x14ac:dyDescent="0.2"/>
  <cols>
    <col min="1" max="9" width="9.6640625" customWidth="1"/>
  </cols>
  <sheetData>
    <row r="1" spans="1:9" ht="19.5" customHeight="1" x14ac:dyDescent="0.2">
      <c r="A1" s="98"/>
      <c r="B1" s="4"/>
      <c r="C1" s="4"/>
      <c r="D1" s="4"/>
      <c r="E1" s="100"/>
      <c r="F1" s="103"/>
    </row>
    <row r="2" spans="1:9" ht="12.75" customHeight="1" x14ac:dyDescent="0.2">
      <c r="A2" s="4"/>
      <c r="B2" s="4"/>
      <c r="C2" s="4"/>
      <c r="D2" s="100"/>
      <c r="E2" s="103"/>
      <c r="F2" s="103"/>
    </row>
    <row r="3" spans="1:9" ht="19.5" customHeight="1" x14ac:dyDescent="0.2">
      <c r="A3" s="2150" t="s">
        <v>519</v>
      </c>
      <c r="B3" s="1523"/>
      <c r="C3" s="1523"/>
      <c r="D3" s="1523"/>
      <c r="E3" s="1523"/>
      <c r="F3" s="1523"/>
    </row>
    <row r="4" spans="1:9" ht="13.5" customHeight="1" x14ac:dyDescent="0.2"/>
    <row r="5" spans="1:9" ht="14.25" customHeight="1" x14ac:dyDescent="0.2">
      <c r="A5" s="2144" t="s">
        <v>517</v>
      </c>
      <c r="B5" s="2145"/>
      <c r="C5" s="2145"/>
      <c r="D5" s="2145"/>
      <c r="E5" s="2145"/>
      <c r="F5" s="2145"/>
      <c r="G5" s="2145"/>
      <c r="H5" s="2145"/>
      <c r="I5" s="2146"/>
    </row>
    <row r="6" spans="1:9" ht="14.25" customHeight="1" x14ac:dyDescent="0.2">
      <c r="A6" s="2147"/>
      <c r="B6" s="2148"/>
      <c r="C6" s="2148"/>
      <c r="D6" s="2148"/>
      <c r="E6" s="2148"/>
      <c r="F6" s="2148"/>
      <c r="G6" s="2148"/>
      <c r="H6" s="2148"/>
      <c r="I6" s="2149"/>
    </row>
    <row r="7" spans="1:9" ht="14.25" customHeight="1" x14ac:dyDescent="0.2">
      <c r="A7" s="2135"/>
      <c r="B7" s="2136"/>
      <c r="C7" s="2136"/>
      <c r="D7" s="2136"/>
      <c r="E7" s="2136"/>
      <c r="F7" s="2136"/>
      <c r="G7" s="2136"/>
      <c r="H7" s="2136"/>
      <c r="I7" s="2137"/>
    </row>
    <row r="8" spans="1:9" ht="14.25" customHeight="1" x14ac:dyDescent="0.2">
      <c r="A8" s="2138"/>
      <c r="B8" s="2139"/>
      <c r="C8" s="2139"/>
      <c r="D8" s="2139"/>
      <c r="E8" s="2139"/>
      <c r="F8" s="2139"/>
      <c r="G8" s="2139"/>
      <c r="H8" s="2139"/>
      <c r="I8" s="2140"/>
    </row>
    <row r="9" spans="1:9" ht="14.25" customHeight="1" x14ac:dyDescent="0.2">
      <c r="A9" s="2138"/>
      <c r="B9" s="2139"/>
      <c r="C9" s="2139"/>
      <c r="D9" s="2139"/>
      <c r="E9" s="2139"/>
      <c r="F9" s="2139"/>
      <c r="G9" s="2139"/>
      <c r="H9" s="2139"/>
      <c r="I9" s="2140"/>
    </row>
    <row r="10" spans="1:9" ht="14.25" customHeight="1" x14ac:dyDescent="0.2">
      <c r="A10" s="2138"/>
      <c r="B10" s="2139"/>
      <c r="C10" s="2139"/>
      <c r="D10" s="2139"/>
      <c r="E10" s="2139"/>
      <c r="F10" s="2139"/>
      <c r="G10" s="2139"/>
      <c r="H10" s="2139"/>
      <c r="I10" s="2140"/>
    </row>
    <row r="11" spans="1:9" ht="14.25" customHeight="1" x14ac:dyDescent="0.2">
      <c r="A11" s="2138"/>
      <c r="B11" s="2139"/>
      <c r="C11" s="2139"/>
      <c r="D11" s="2139"/>
      <c r="E11" s="2139"/>
      <c r="F11" s="2139"/>
      <c r="G11" s="2139"/>
      <c r="H11" s="2139"/>
      <c r="I11" s="2140"/>
    </row>
    <row r="12" spans="1:9" ht="14.25" customHeight="1" x14ac:dyDescent="0.2">
      <c r="A12" s="2138"/>
      <c r="B12" s="2139"/>
      <c r="C12" s="2139"/>
      <c r="D12" s="2139"/>
      <c r="E12" s="2139"/>
      <c r="F12" s="2139"/>
      <c r="G12" s="2139"/>
      <c r="H12" s="2139"/>
      <c r="I12" s="2140"/>
    </row>
    <row r="13" spans="1:9" ht="14.25" customHeight="1" x14ac:dyDescent="0.2">
      <c r="A13" s="2138"/>
      <c r="B13" s="2139"/>
      <c r="C13" s="2139"/>
      <c r="D13" s="2139"/>
      <c r="E13" s="2139"/>
      <c r="F13" s="2139"/>
      <c r="G13" s="2139"/>
      <c r="H13" s="2139"/>
      <c r="I13" s="2140"/>
    </row>
    <row r="14" spans="1:9" ht="14.25" customHeight="1" x14ac:dyDescent="0.2">
      <c r="A14" s="2141"/>
      <c r="B14" s="2142"/>
      <c r="C14" s="2142"/>
      <c r="D14" s="2142"/>
      <c r="E14" s="2142"/>
      <c r="F14" s="2142"/>
      <c r="G14" s="2142"/>
      <c r="H14" s="2142"/>
      <c r="I14" s="2143"/>
    </row>
    <row r="15" spans="1:9" ht="14.25" customHeight="1" x14ac:dyDescent="0.2">
      <c r="A15" s="2144" t="s">
        <v>518</v>
      </c>
      <c r="B15" s="2145"/>
      <c r="C15" s="2145"/>
      <c r="D15" s="2145"/>
      <c r="E15" s="2145"/>
      <c r="F15" s="2145"/>
      <c r="G15" s="2145"/>
      <c r="H15" s="2145"/>
      <c r="I15" s="2146"/>
    </row>
    <row r="16" spans="1:9" ht="14.25" customHeight="1" x14ac:dyDescent="0.2">
      <c r="A16" s="2147"/>
      <c r="B16" s="2148"/>
      <c r="C16" s="2148"/>
      <c r="D16" s="2148"/>
      <c r="E16" s="2148"/>
      <c r="F16" s="2148"/>
      <c r="G16" s="2148"/>
      <c r="H16" s="2148"/>
      <c r="I16" s="2149"/>
    </row>
    <row r="17" spans="1:9" ht="14.25" customHeight="1" x14ac:dyDescent="0.2">
      <c r="A17" s="2135"/>
      <c r="B17" s="2136"/>
      <c r="C17" s="2136"/>
      <c r="D17" s="2136"/>
      <c r="E17" s="2136"/>
      <c r="F17" s="2136"/>
      <c r="G17" s="2136"/>
      <c r="H17" s="2136"/>
      <c r="I17" s="2137"/>
    </row>
    <row r="18" spans="1:9" ht="14.25" customHeight="1" x14ac:dyDescent="0.2">
      <c r="A18" s="2138"/>
      <c r="B18" s="2139"/>
      <c r="C18" s="2139"/>
      <c r="D18" s="2139"/>
      <c r="E18" s="2139"/>
      <c r="F18" s="2139"/>
      <c r="G18" s="2139"/>
      <c r="H18" s="2139"/>
      <c r="I18" s="2140"/>
    </row>
    <row r="19" spans="1:9" ht="14.25" customHeight="1" x14ac:dyDescent="0.2">
      <c r="A19" s="2138"/>
      <c r="B19" s="2139"/>
      <c r="C19" s="2139"/>
      <c r="D19" s="2139"/>
      <c r="E19" s="2139"/>
      <c r="F19" s="2139"/>
      <c r="G19" s="2139"/>
      <c r="H19" s="2139"/>
      <c r="I19" s="2140"/>
    </row>
    <row r="20" spans="1:9" ht="14.25" customHeight="1" x14ac:dyDescent="0.2">
      <c r="A20" s="2138"/>
      <c r="B20" s="2139"/>
      <c r="C20" s="2139"/>
      <c r="D20" s="2139"/>
      <c r="E20" s="2139"/>
      <c r="F20" s="2139"/>
      <c r="G20" s="2139"/>
      <c r="H20" s="2139"/>
      <c r="I20" s="2140"/>
    </row>
    <row r="21" spans="1:9" ht="14.25" customHeight="1" x14ac:dyDescent="0.2">
      <c r="A21" s="2138"/>
      <c r="B21" s="2139"/>
      <c r="C21" s="2139"/>
      <c r="D21" s="2139"/>
      <c r="E21" s="2139"/>
      <c r="F21" s="2139"/>
      <c r="G21" s="2139"/>
      <c r="H21" s="2139"/>
      <c r="I21" s="2140"/>
    </row>
    <row r="22" spans="1:9" ht="14.25" customHeight="1" x14ac:dyDescent="0.2">
      <c r="A22" s="2138"/>
      <c r="B22" s="2139"/>
      <c r="C22" s="2139"/>
      <c r="D22" s="2139"/>
      <c r="E22" s="2139"/>
      <c r="F22" s="2139"/>
      <c r="G22" s="2139"/>
      <c r="H22" s="2139"/>
      <c r="I22" s="2140"/>
    </row>
    <row r="23" spans="1:9" ht="14.25" customHeight="1" x14ac:dyDescent="0.2">
      <c r="A23" s="2138"/>
      <c r="B23" s="2139"/>
      <c r="C23" s="2139"/>
      <c r="D23" s="2139"/>
      <c r="E23" s="2139"/>
      <c r="F23" s="2139"/>
      <c r="G23" s="2139"/>
      <c r="H23" s="2139"/>
      <c r="I23" s="2140"/>
    </row>
    <row r="24" spans="1:9" ht="14.25" customHeight="1" x14ac:dyDescent="0.2">
      <c r="A24" s="2141"/>
      <c r="B24" s="2142"/>
      <c r="C24" s="2142"/>
      <c r="D24" s="2142"/>
      <c r="E24" s="2142"/>
      <c r="F24" s="2142"/>
      <c r="G24" s="2142"/>
      <c r="H24" s="2142"/>
      <c r="I24" s="2143"/>
    </row>
    <row r="25" spans="1:9" ht="14.25" customHeight="1" x14ac:dyDescent="0.2">
      <c r="A25" s="2144" t="s">
        <v>516</v>
      </c>
      <c r="B25" s="2145"/>
      <c r="C25" s="2145"/>
      <c r="D25" s="2145"/>
      <c r="E25" s="2145"/>
      <c r="F25" s="2145"/>
      <c r="G25" s="2145"/>
      <c r="H25" s="2145"/>
      <c r="I25" s="2146"/>
    </row>
    <row r="26" spans="1:9" ht="14.25" customHeight="1" x14ac:dyDescent="0.2">
      <c r="A26" s="2147"/>
      <c r="B26" s="2148"/>
      <c r="C26" s="2148"/>
      <c r="D26" s="2148"/>
      <c r="E26" s="2148"/>
      <c r="F26" s="2148"/>
      <c r="G26" s="2148"/>
      <c r="H26" s="2148"/>
      <c r="I26" s="2149"/>
    </row>
    <row r="27" spans="1:9" ht="14.25" customHeight="1" x14ac:dyDescent="0.2">
      <c r="A27" s="2135"/>
      <c r="B27" s="2136"/>
      <c r="C27" s="2136"/>
      <c r="D27" s="2136"/>
      <c r="E27" s="2136"/>
      <c r="F27" s="2136"/>
      <c r="G27" s="2136"/>
      <c r="H27" s="2136"/>
      <c r="I27" s="2137"/>
    </row>
    <row r="28" spans="1:9" ht="14.25" customHeight="1" x14ac:dyDescent="0.2">
      <c r="A28" s="2138"/>
      <c r="B28" s="2139"/>
      <c r="C28" s="2139"/>
      <c r="D28" s="2139"/>
      <c r="E28" s="2139"/>
      <c r="F28" s="2139"/>
      <c r="G28" s="2139"/>
      <c r="H28" s="2139"/>
      <c r="I28" s="2140"/>
    </row>
    <row r="29" spans="1:9" ht="14.25" customHeight="1" x14ac:dyDescent="0.2">
      <c r="A29" s="2138"/>
      <c r="B29" s="2139"/>
      <c r="C29" s="2139"/>
      <c r="D29" s="2139"/>
      <c r="E29" s="2139"/>
      <c r="F29" s="2139"/>
      <c r="G29" s="2139"/>
      <c r="H29" s="2139"/>
      <c r="I29" s="2140"/>
    </row>
    <row r="30" spans="1:9" ht="14.25" customHeight="1" x14ac:dyDescent="0.2">
      <c r="A30" s="2138"/>
      <c r="B30" s="2139"/>
      <c r="C30" s="2139"/>
      <c r="D30" s="2139"/>
      <c r="E30" s="2139"/>
      <c r="F30" s="2139"/>
      <c r="G30" s="2139"/>
      <c r="H30" s="2139"/>
      <c r="I30" s="2140"/>
    </row>
    <row r="31" spans="1:9" ht="14.25" customHeight="1" x14ac:dyDescent="0.2">
      <c r="A31" s="2138"/>
      <c r="B31" s="2139"/>
      <c r="C31" s="2139"/>
      <c r="D31" s="2139"/>
      <c r="E31" s="2139"/>
      <c r="F31" s="2139"/>
      <c r="G31" s="2139"/>
      <c r="H31" s="2139"/>
      <c r="I31" s="2140"/>
    </row>
    <row r="32" spans="1:9" ht="14.25" customHeight="1" x14ac:dyDescent="0.2">
      <c r="A32" s="2138"/>
      <c r="B32" s="2139"/>
      <c r="C32" s="2139"/>
      <c r="D32" s="2139"/>
      <c r="E32" s="2139"/>
      <c r="F32" s="2139"/>
      <c r="G32" s="2139"/>
      <c r="H32" s="2139"/>
      <c r="I32" s="2140"/>
    </row>
    <row r="33" spans="1:9" ht="14.25" customHeight="1" x14ac:dyDescent="0.2">
      <c r="A33" s="2138"/>
      <c r="B33" s="2139"/>
      <c r="C33" s="2139"/>
      <c r="D33" s="2139"/>
      <c r="E33" s="2139"/>
      <c r="F33" s="2139"/>
      <c r="G33" s="2139"/>
      <c r="H33" s="2139"/>
      <c r="I33" s="2140"/>
    </row>
    <row r="34" spans="1:9" ht="14.25" customHeight="1" x14ac:dyDescent="0.2">
      <c r="A34" s="2141"/>
      <c r="B34" s="2142"/>
      <c r="C34" s="2142"/>
      <c r="D34" s="2142"/>
      <c r="E34" s="2142"/>
      <c r="F34" s="2142"/>
      <c r="G34" s="2142"/>
      <c r="H34" s="2142"/>
      <c r="I34" s="2143"/>
    </row>
    <row r="35" spans="1:9" ht="14.25" customHeight="1" x14ac:dyDescent="0.2">
      <c r="A35" s="2144" t="s">
        <v>512</v>
      </c>
      <c r="B35" s="2145"/>
      <c r="C35" s="2145"/>
      <c r="D35" s="2145"/>
      <c r="E35" s="2145"/>
      <c r="F35" s="2145"/>
      <c r="G35" s="2145"/>
      <c r="H35" s="2145"/>
      <c r="I35" s="2146"/>
    </row>
    <row r="36" spans="1:9" ht="14.25" customHeight="1" x14ac:dyDescent="0.2">
      <c r="A36" s="2147"/>
      <c r="B36" s="2148"/>
      <c r="C36" s="2148"/>
      <c r="D36" s="2148"/>
      <c r="E36" s="2148"/>
      <c r="F36" s="2148"/>
      <c r="G36" s="2148"/>
      <c r="H36" s="2148"/>
      <c r="I36" s="2149"/>
    </row>
    <row r="37" spans="1:9" ht="14.25" customHeight="1" x14ac:dyDescent="0.2">
      <c r="A37" s="2135"/>
      <c r="B37" s="2136"/>
      <c r="C37" s="2136"/>
      <c r="D37" s="2136"/>
      <c r="E37" s="2136"/>
      <c r="F37" s="2136"/>
      <c r="G37" s="2136"/>
      <c r="H37" s="2136"/>
      <c r="I37" s="2137"/>
    </row>
    <row r="38" spans="1:9" ht="14.25" customHeight="1" x14ac:dyDescent="0.2">
      <c r="A38" s="2138"/>
      <c r="B38" s="2139"/>
      <c r="C38" s="2139"/>
      <c r="D38" s="2139"/>
      <c r="E38" s="2139"/>
      <c r="F38" s="2139"/>
      <c r="G38" s="2139"/>
      <c r="H38" s="2139"/>
      <c r="I38" s="2140"/>
    </row>
    <row r="39" spans="1:9" ht="14.25" customHeight="1" x14ac:dyDescent="0.2">
      <c r="A39" s="2138"/>
      <c r="B39" s="2139"/>
      <c r="C39" s="2139"/>
      <c r="D39" s="2139"/>
      <c r="E39" s="2139"/>
      <c r="F39" s="2139"/>
      <c r="G39" s="2139"/>
      <c r="H39" s="2139"/>
      <c r="I39" s="2140"/>
    </row>
    <row r="40" spans="1:9" ht="14.25" customHeight="1" x14ac:dyDescent="0.2">
      <c r="A40" s="2138"/>
      <c r="B40" s="2139"/>
      <c r="C40" s="2139"/>
      <c r="D40" s="2139"/>
      <c r="E40" s="2139"/>
      <c r="F40" s="2139"/>
      <c r="G40" s="2139"/>
      <c r="H40" s="2139"/>
      <c r="I40" s="2140"/>
    </row>
    <row r="41" spans="1:9" ht="14.25" customHeight="1" x14ac:dyDescent="0.2">
      <c r="A41" s="2138"/>
      <c r="B41" s="2139"/>
      <c r="C41" s="2139"/>
      <c r="D41" s="2139"/>
      <c r="E41" s="2139"/>
      <c r="F41" s="2139"/>
      <c r="G41" s="2139"/>
      <c r="H41" s="2139"/>
      <c r="I41" s="2140"/>
    </row>
    <row r="42" spans="1:9" ht="14.25" customHeight="1" x14ac:dyDescent="0.2">
      <c r="A42" s="2138"/>
      <c r="B42" s="2139"/>
      <c r="C42" s="2139"/>
      <c r="D42" s="2139"/>
      <c r="E42" s="2139"/>
      <c r="F42" s="2139"/>
      <c r="G42" s="2139"/>
      <c r="H42" s="2139"/>
      <c r="I42" s="2140"/>
    </row>
    <row r="43" spans="1:9" ht="14.25" customHeight="1" x14ac:dyDescent="0.2">
      <c r="A43" s="2138"/>
      <c r="B43" s="2139"/>
      <c r="C43" s="2139"/>
      <c r="D43" s="2139"/>
      <c r="E43" s="2139"/>
      <c r="F43" s="2139"/>
      <c r="G43" s="2139"/>
      <c r="H43" s="2139"/>
      <c r="I43" s="2140"/>
    </row>
    <row r="44" spans="1:9" ht="14.25" customHeight="1" x14ac:dyDescent="0.2">
      <c r="A44" s="2141"/>
      <c r="B44" s="2142"/>
      <c r="C44" s="2142"/>
      <c r="D44" s="2142"/>
      <c r="E44" s="2142"/>
      <c r="F44" s="2142"/>
      <c r="G44" s="2142"/>
      <c r="H44" s="2142"/>
      <c r="I44" s="2143"/>
    </row>
    <row r="45" spans="1:9" ht="14.25" customHeight="1" x14ac:dyDescent="0.2">
      <c r="A45" s="2144" t="s">
        <v>520</v>
      </c>
      <c r="B45" s="2145"/>
      <c r="C45" s="2145"/>
      <c r="D45" s="2145"/>
      <c r="E45" s="2145"/>
      <c r="F45" s="2145"/>
      <c r="G45" s="2145"/>
      <c r="H45" s="2145"/>
      <c r="I45" s="2146"/>
    </row>
    <row r="46" spans="1:9" ht="14.25" customHeight="1" x14ac:dyDescent="0.2">
      <c r="A46" s="2147"/>
      <c r="B46" s="2148"/>
      <c r="C46" s="2148"/>
      <c r="D46" s="2148"/>
      <c r="E46" s="2148"/>
      <c r="F46" s="2148"/>
      <c r="G46" s="2148"/>
      <c r="H46" s="2148"/>
      <c r="I46" s="2149"/>
    </row>
    <row r="47" spans="1:9" ht="14.25" customHeight="1" x14ac:dyDescent="0.2">
      <c r="A47" s="2135"/>
      <c r="B47" s="2136"/>
      <c r="C47" s="2136"/>
      <c r="D47" s="2136"/>
      <c r="E47" s="2136"/>
      <c r="F47" s="2136"/>
      <c r="G47" s="2136"/>
      <c r="H47" s="2136"/>
      <c r="I47" s="2137"/>
    </row>
    <row r="48" spans="1:9" ht="14.25" customHeight="1" x14ac:dyDescent="0.2">
      <c r="A48" s="2138"/>
      <c r="B48" s="2139"/>
      <c r="C48" s="2139"/>
      <c r="D48" s="2139"/>
      <c r="E48" s="2139"/>
      <c r="F48" s="2139"/>
      <c r="G48" s="2139"/>
      <c r="H48" s="2139"/>
      <c r="I48" s="2140"/>
    </row>
    <row r="49" spans="1:9" ht="14.25" customHeight="1" x14ac:dyDescent="0.2">
      <c r="A49" s="2138"/>
      <c r="B49" s="2139"/>
      <c r="C49" s="2139"/>
      <c r="D49" s="2139"/>
      <c r="E49" s="2139"/>
      <c r="F49" s="2139"/>
      <c r="G49" s="2139"/>
      <c r="H49" s="2139"/>
      <c r="I49" s="2140"/>
    </row>
    <row r="50" spans="1:9" ht="14.25" customHeight="1" x14ac:dyDescent="0.2">
      <c r="A50" s="2138"/>
      <c r="B50" s="2139"/>
      <c r="C50" s="2139"/>
      <c r="D50" s="2139"/>
      <c r="E50" s="2139"/>
      <c r="F50" s="2139"/>
      <c r="G50" s="2139"/>
      <c r="H50" s="2139"/>
      <c r="I50" s="2140"/>
    </row>
    <row r="51" spans="1:9" ht="14.25" customHeight="1" x14ac:dyDescent="0.2">
      <c r="A51" s="2138"/>
      <c r="B51" s="2139"/>
      <c r="C51" s="2139"/>
      <c r="D51" s="2139"/>
      <c r="E51" s="2139"/>
      <c r="F51" s="2139"/>
      <c r="G51" s="2139"/>
      <c r="H51" s="2139"/>
      <c r="I51" s="2140"/>
    </row>
    <row r="52" spans="1:9" ht="14.25" customHeight="1" x14ac:dyDescent="0.2">
      <c r="A52" s="2138"/>
      <c r="B52" s="2139"/>
      <c r="C52" s="2139"/>
      <c r="D52" s="2139"/>
      <c r="E52" s="2139"/>
      <c r="F52" s="2139"/>
      <c r="G52" s="2139"/>
      <c r="H52" s="2139"/>
      <c r="I52" s="2140"/>
    </row>
    <row r="53" spans="1:9" ht="14.25" customHeight="1" x14ac:dyDescent="0.2">
      <c r="A53" s="2138"/>
      <c r="B53" s="2139"/>
      <c r="C53" s="2139"/>
      <c r="D53" s="2139"/>
      <c r="E53" s="2139"/>
      <c r="F53" s="2139"/>
      <c r="G53" s="2139"/>
      <c r="H53" s="2139"/>
      <c r="I53" s="2140"/>
    </row>
    <row r="54" spans="1:9" ht="14.25" customHeight="1" x14ac:dyDescent="0.2">
      <c r="A54" s="2141"/>
      <c r="B54" s="2142"/>
      <c r="C54" s="2142"/>
      <c r="D54" s="2142"/>
      <c r="E54" s="2142"/>
      <c r="F54" s="2142"/>
      <c r="G54" s="2142"/>
      <c r="H54" s="2142"/>
      <c r="I54" s="2143"/>
    </row>
  </sheetData>
  <mergeCells count="11">
    <mergeCell ref="A25:I26"/>
    <mergeCell ref="A3:F3"/>
    <mergeCell ref="A5:I6"/>
    <mergeCell ref="A7:I14"/>
    <mergeCell ref="A15:I16"/>
    <mergeCell ref="A17:I24"/>
    <mergeCell ref="A27:I34"/>
    <mergeCell ref="A35:I36"/>
    <mergeCell ref="A37:I44"/>
    <mergeCell ref="A45:I46"/>
    <mergeCell ref="A47:I54"/>
  </mergeCells>
  <phoneticPr fontId="2"/>
  <printOptions horizontalCentered="1" verticalCentered="1"/>
  <pageMargins left="0.70866141732283472" right="0.70866141732283472" top="0.74803149606299213" bottom="0.74803149606299213" header="0.31496062992125984" footer="0.31496062992125984"/>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M76"/>
  <sheetViews>
    <sheetView showGridLines="0" view="pageBreakPreview" topLeftCell="A33" zoomScale="80" zoomScaleNormal="85" zoomScaleSheetLayoutView="80" workbookViewId="0">
      <selection activeCell="G66" sqref="G66"/>
    </sheetView>
  </sheetViews>
  <sheetFormatPr defaultColWidth="9" defaultRowHeight="13.2" x14ac:dyDescent="0.2"/>
  <cols>
    <col min="1" max="1" width="4" style="100" customWidth="1"/>
    <col min="2" max="3" width="3.21875" style="100" customWidth="1"/>
    <col min="4" max="4" width="13" style="100" customWidth="1"/>
    <col min="5" max="5" width="13.77734375" style="100" customWidth="1"/>
    <col min="6" max="6" width="6.6640625" style="357" customWidth="1"/>
    <col min="7" max="7" width="13.77734375" style="785" customWidth="1"/>
    <col min="8" max="8" width="6.6640625" style="357" customWidth="1"/>
    <col min="9" max="9" width="13.77734375" style="785" customWidth="1"/>
    <col min="10" max="10" width="6.6640625" style="357" customWidth="1"/>
    <col min="11" max="11" width="13.77734375" style="785" customWidth="1"/>
    <col min="12" max="12" width="6.6640625" style="357" customWidth="1"/>
    <col min="13" max="13" width="13.77734375" style="785" customWidth="1"/>
    <col min="14" max="14" width="6.6640625" style="357" customWidth="1"/>
    <col min="15" max="15" width="13.77734375" style="785" customWidth="1"/>
    <col min="16" max="16" width="6.6640625" style="357" customWidth="1"/>
    <col min="17" max="17" width="0.88671875" style="357" customWidth="1"/>
    <col min="18" max="18" width="13.77734375" style="785" customWidth="1"/>
    <col min="19" max="19" width="6.6640625" style="357" customWidth="1"/>
    <col min="20" max="23" width="9" style="4"/>
    <col min="24" max="24" width="6.77734375" style="100" customWidth="1"/>
    <col min="25" max="47" width="9" style="4"/>
    <col min="48" max="48" width="3.77734375" style="100" customWidth="1"/>
    <col min="49" max="71" width="9" style="4"/>
    <col min="72" max="72" width="4.77734375" style="100" customWidth="1"/>
    <col min="73" max="91" width="9" style="4"/>
    <col min="92" max="16384" width="9" style="100"/>
  </cols>
  <sheetData>
    <row r="1" spans="1:72" ht="16.2" x14ac:dyDescent="0.2">
      <c r="A1" s="98">
        <f>'財務諸表（入力）'!D1</f>
        <v>0</v>
      </c>
      <c r="B1" s="98"/>
      <c r="C1" s="98"/>
    </row>
    <row r="2" spans="1:72" x14ac:dyDescent="0.2">
      <c r="A2" s="102"/>
      <c r="C2" s="103"/>
    </row>
    <row r="3" spans="1:72" ht="32.25" customHeight="1" x14ac:dyDescent="0.2">
      <c r="A3" s="97" t="s">
        <v>452</v>
      </c>
      <c r="C3" s="103"/>
    </row>
    <row r="4" spans="1:72" ht="21" customHeight="1" thickBot="1" x14ac:dyDescent="0.25">
      <c r="A4" s="198"/>
      <c r="C4" s="103"/>
    </row>
    <row r="5" spans="1:72" ht="32.25" customHeight="1" x14ac:dyDescent="0.2">
      <c r="A5" s="198"/>
      <c r="C5" s="103"/>
      <c r="E5" s="1480" t="s">
        <v>451</v>
      </c>
      <c r="F5" s="2179"/>
      <c r="G5" s="2198" t="s">
        <v>456</v>
      </c>
      <c r="H5" s="2199"/>
      <c r="I5" s="2199"/>
      <c r="J5" s="2199"/>
      <c r="K5" s="2199"/>
      <c r="L5" s="2199"/>
      <c r="M5" s="2199"/>
      <c r="N5" s="2199"/>
      <c r="O5" s="2199"/>
      <c r="P5" s="2200"/>
      <c r="Q5" s="833"/>
      <c r="R5" s="2196"/>
      <c r="S5" s="1523"/>
    </row>
    <row r="6" spans="1:72" ht="40.5" customHeight="1" x14ac:dyDescent="0.2">
      <c r="A6" s="1467"/>
      <c r="B6" s="1506"/>
      <c r="C6" s="1506"/>
      <c r="D6" s="1732"/>
      <c r="E6" s="2201" t="str">
        <f>'財務諸表（入力）'!J4</f>
        <v>2022年2月1日～2023年1月31日</v>
      </c>
      <c r="F6" s="2197" t="s">
        <v>367</v>
      </c>
      <c r="G6" s="815"/>
      <c r="H6" s="2204" t="s">
        <v>367</v>
      </c>
      <c r="I6" s="797"/>
      <c r="J6" s="2204" t="s">
        <v>367</v>
      </c>
      <c r="K6" s="797"/>
      <c r="L6" s="2204" t="s">
        <v>367</v>
      </c>
      <c r="M6" s="797"/>
      <c r="N6" s="2204" t="s">
        <v>367</v>
      </c>
      <c r="O6" s="797"/>
      <c r="P6" s="2205" t="s">
        <v>367</v>
      </c>
      <c r="Q6" s="834"/>
      <c r="R6" s="793" t="s">
        <v>184</v>
      </c>
      <c r="S6" s="2204" t="s">
        <v>367</v>
      </c>
      <c r="T6" s="2185"/>
    </row>
    <row r="7" spans="1:72" ht="21.75" customHeight="1" x14ac:dyDescent="0.2">
      <c r="A7" s="1559"/>
      <c r="B7" s="1560"/>
      <c r="C7" s="1560"/>
      <c r="D7" s="1734"/>
      <c r="E7" s="2202"/>
      <c r="F7" s="2186"/>
      <c r="G7" s="816"/>
      <c r="H7" s="2175"/>
      <c r="I7" s="798"/>
      <c r="J7" s="2175"/>
      <c r="K7" s="798"/>
      <c r="L7" s="2175"/>
      <c r="M7" s="798"/>
      <c r="N7" s="2175"/>
      <c r="O7" s="798"/>
      <c r="P7" s="2177"/>
      <c r="Q7" s="835"/>
      <c r="R7" s="794">
        <f>G7+I7+K7+M7+O7</f>
        <v>0</v>
      </c>
      <c r="S7" s="2175"/>
      <c r="T7" s="2186"/>
    </row>
    <row r="8" spans="1:72" ht="21.75" customHeight="1" x14ac:dyDescent="0.2">
      <c r="A8" s="841"/>
      <c r="B8" s="842"/>
      <c r="C8" s="842"/>
      <c r="D8" s="844"/>
      <c r="E8" s="2203"/>
      <c r="F8" s="2186"/>
      <c r="G8" s="817"/>
      <c r="H8" s="2175"/>
      <c r="I8" s="799"/>
      <c r="J8" s="2175"/>
      <c r="K8" s="799"/>
      <c r="L8" s="2175"/>
      <c r="M8" s="799"/>
      <c r="N8" s="2175"/>
      <c r="O8" s="799"/>
      <c r="P8" s="2177"/>
      <c r="Q8" s="835"/>
      <c r="R8" s="795">
        <f>G8+I8+K8+M8+O8</f>
        <v>0</v>
      </c>
      <c r="S8" s="2175"/>
      <c r="T8" s="2186"/>
    </row>
    <row r="9" spans="1:72" s="4" customFormat="1" ht="27" customHeight="1" x14ac:dyDescent="0.2">
      <c r="A9" s="1445" t="s">
        <v>5</v>
      </c>
      <c r="B9" s="2179"/>
      <c r="C9" s="2179"/>
      <c r="D9" s="2030"/>
      <c r="E9" s="131">
        <f>'財務諸表（入力）'!J129</f>
        <v>0</v>
      </c>
      <c r="F9" s="802" t="str">
        <f>IF(E9=0,"",E9/E$9)</f>
        <v/>
      </c>
      <c r="G9" s="818">
        <f>$E$9*G7</f>
        <v>0</v>
      </c>
      <c r="H9" s="808" t="str">
        <f>IF(G9=0,"",G9/G$9)</f>
        <v/>
      </c>
      <c r="I9" s="787">
        <f>$E$9*I7</f>
        <v>0</v>
      </c>
      <c r="J9" s="808" t="str">
        <f>IF(I9=0,"",I9/I$9)</f>
        <v/>
      </c>
      <c r="K9" s="787">
        <f>$E$9*K7</f>
        <v>0</v>
      </c>
      <c r="L9" s="808" t="str">
        <f>IF(K9=0,"",K9/K$9)</f>
        <v/>
      </c>
      <c r="M9" s="787">
        <f>$E$9*M7</f>
        <v>0</v>
      </c>
      <c r="N9" s="808" t="str">
        <f>IF(M9=0,"",M9/M$9)</f>
        <v/>
      </c>
      <c r="O9" s="787">
        <f>$E$9*O7</f>
        <v>0</v>
      </c>
      <c r="P9" s="788" t="str">
        <f>IF(O9=0,"",O9/O$9)</f>
        <v/>
      </c>
      <c r="Q9" s="446"/>
      <c r="R9" s="786">
        <f>G9+I9+K9+M9+O9</f>
        <v>0</v>
      </c>
      <c r="S9" s="808" t="str">
        <f>IF(R9=0,"",R9/R$9)</f>
        <v/>
      </c>
      <c r="X9" s="100"/>
      <c r="AV9" s="100"/>
      <c r="BT9" s="100"/>
    </row>
    <row r="10" spans="1:72" s="4" customFormat="1" ht="27" customHeight="1" x14ac:dyDescent="0.2">
      <c r="A10" s="2162" t="s">
        <v>381</v>
      </c>
      <c r="B10" s="845" t="s">
        <v>357</v>
      </c>
      <c r="C10" s="839"/>
      <c r="D10" s="846"/>
      <c r="E10" s="116">
        <f>'財務諸表（入力）'!J96+SUMIF('財務諸表（入力）'!$C$97:$C$116,"V",'財務諸表（入力）'!$J$97:$J$116)+'財務諸表（入力）'!J122+'財務諸表（入力）'!J131+'財務諸表（入力）'!J135-'財務諸表（入力）'!$J121</f>
        <v>0</v>
      </c>
      <c r="F10" s="847" t="str">
        <f>IF(E10=0,"",E10/E$9)</f>
        <v/>
      </c>
      <c r="G10" s="848" t="e">
        <f>G13-G11-G12</f>
        <v>#DIV/0!</v>
      </c>
      <c r="H10" s="849" t="e">
        <f>IF(G10=0,"",G10/G$9)</f>
        <v>#DIV/0!</v>
      </c>
      <c r="I10" s="850" t="e">
        <f>I13-I11-I12</f>
        <v>#DIV/0!</v>
      </c>
      <c r="J10" s="849" t="e">
        <f>IF(I10=0,"",I10/I$9)</f>
        <v>#DIV/0!</v>
      </c>
      <c r="K10" s="850" t="e">
        <f>K13-K11-K12</f>
        <v>#DIV/0!</v>
      </c>
      <c r="L10" s="849" t="e">
        <f>IF(K10=0,"",K10/K$9)</f>
        <v>#DIV/0!</v>
      </c>
      <c r="M10" s="850" t="e">
        <f>M13-M11-M12</f>
        <v>#DIV/0!</v>
      </c>
      <c r="N10" s="849" t="e">
        <f>IF(M10=0,"",M10/M$9)</f>
        <v>#DIV/0!</v>
      </c>
      <c r="O10" s="850" t="e">
        <f>O13-O11-O12</f>
        <v>#DIV/0!</v>
      </c>
      <c r="P10" s="851" t="e">
        <f>IF(O10=0,"",O10/O$9)</f>
        <v>#DIV/0!</v>
      </c>
      <c r="Q10" s="852"/>
      <c r="R10" s="853" t="e">
        <f t="shared" ref="R10:R23" si="0">G10+I10+K10+M10+O10</f>
        <v>#DIV/0!</v>
      </c>
      <c r="S10" s="849" t="e">
        <f>IF(R10=0,"",R10/R$9)</f>
        <v>#DIV/0!</v>
      </c>
      <c r="X10" s="100"/>
      <c r="AV10" s="100"/>
      <c r="BT10" s="100"/>
    </row>
    <row r="11" spans="1:72" s="4" customFormat="1" ht="21" customHeight="1" x14ac:dyDescent="0.2">
      <c r="A11" s="2163"/>
      <c r="B11" s="2160" t="s">
        <v>359</v>
      </c>
      <c r="C11" s="840" t="s">
        <v>191</v>
      </c>
      <c r="D11" s="854"/>
      <c r="E11" s="125">
        <f>SUMIF('財務諸表（入力）'!$C$97:$C$100,"F",'財務諸表（入力）'!$J$97:$J$100)</f>
        <v>0</v>
      </c>
      <c r="F11" s="804" t="str">
        <f>IF(E11=0,"",E11/E$9)</f>
        <v/>
      </c>
      <c r="G11" s="820" t="e">
        <f>$E11*G8/$R8</f>
        <v>#DIV/0!</v>
      </c>
      <c r="H11" s="810" t="e">
        <f>IF(G11=0,"",G11/G$9)</f>
        <v>#DIV/0!</v>
      </c>
      <c r="I11" s="855" t="e">
        <f>$E11*I8/$R8</f>
        <v>#DIV/0!</v>
      </c>
      <c r="J11" s="810" t="e">
        <f>IF(I11=0,"",I11/I$9)</f>
        <v>#DIV/0!</v>
      </c>
      <c r="K11" s="855" t="e">
        <f>$E11*K8/$R8</f>
        <v>#DIV/0!</v>
      </c>
      <c r="L11" s="810" t="e">
        <f>IF(K11=0,"",K11/K$9)</f>
        <v>#DIV/0!</v>
      </c>
      <c r="M11" s="855" t="e">
        <f>$E11*M8/$R8</f>
        <v>#DIV/0!</v>
      </c>
      <c r="N11" s="810" t="e">
        <f>IF(M11=0,"",M11/M$9)</f>
        <v>#DIV/0!</v>
      </c>
      <c r="O11" s="855" t="e">
        <f>$E11*O8/$R8</f>
        <v>#DIV/0!</v>
      </c>
      <c r="P11" s="821" t="e">
        <f>IF(O11=0,"",O11/O$9)</f>
        <v>#DIV/0!</v>
      </c>
      <c r="Q11" s="830"/>
      <c r="R11" s="790" t="e">
        <f t="shared" si="0"/>
        <v>#DIV/0!</v>
      </c>
      <c r="S11" s="810" t="e">
        <f>IF(R11=0,"",R11/R$9)</f>
        <v>#DIV/0!</v>
      </c>
      <c r="X11" s="100"/>
      <c r="AV11" s="100"/>
      <c r="BT11" s="100"/>
    </row>
    <row r="12" spans="1:72" s="4" customFormat="1" ht="21" customHeight="1" x14ac:dyDescent="0.2">
      <c r="A12" s="2163"/>
      <c r="B12" s="2161"/>
      <c r="C12" s="843" t="s">
        <v>301</v>
      </c>
      <c r="D12" s="856"/>
      <c r="E12" s="267">
        <f>SUMIF('財務諸表（入力）'!$C$102:$C$116,"F",'財務諸表（入力）'!$J$102:$J$116)</f>
        <v>0</v>
      </c>
      <c r="F12" s="805" t="str">
        <f>IF(E12=0,"",E12/E$9)</f>
        <v/>
      </c>
      <c r="G12" s="822">
        <f>$E12*G7</f>
        <v>0</v>
      </c>
      <c r="H12" s="811" t="str">
        <f>IF(G12=0,"",G12/G$9)</f>
        <v/>
      </c>
      <c r="I12" s="857">
        <f>$E12*I7</f>
        <v>0</v>
      </c>
      <c r="J12" s="811" t="str">
        <f>IF(I12=0,"",I12/I$9)</f>
        <v/>
      </c>
      <c r="K12" s="857">
        <f>$E12*K7</f>
        <v>0</v>
      </c>
      <c r="L12" s="811" t="str">
        <f>IF(K12=0,"",K12/K$9)</f>
        <v/>
      </c>
      <c r="M12" s="857">
        <f>$E12*M7</f>
        <v>0</v>
      </c>
      <c r="N12" s="811" t="str">
        <f>IF(M12=0,"",M12/M$9)</f>
        <v/>
      </c>
      <c r="O12" s="857">
        <f>$E12*O7</f>
        <v>0</v>
      </c>
      <c r="P12" s="823" t="str">
        <f>IF(O12=0,"",O12/O$9)</f>
        <v/>
      </c>
      <c r="Q12" s="831"/>
      <c r="R12" s="791">
        <f t="shared" si="0"/>
        <v>0</v>
      </c>
      <c r="S12" s="811" t="str">
        <f>IF(R12=0,"",R12/R$9)</f>
        <v/>
      </c>
      <c r="X12" s="100"/>
      <c r="AV12" s="100"/>
      <c r="BT12" s="100"/>
    </row>
    <row r="13" spans="1:72" s="4" customFormat="1" ht="27" customHeight="1" thickBot="1" x14ac:dyDescent="0.25">
      <c r="A13" s="2178" t="s">
        <v>184</v>
      </c>
      <c r="B13" s="2179"/>
      <c r="C13" s="2179"/>
      <c r="D13" s="2030"/>
      <c r="E13" s="337">
        <f>E10+E11+E12</f>
        <v>0</v>
      </c>
      <c r="F13" s="802" t="str">
        <f t="shared" ref="F13:F23" si="1">IF(E13=0,"",E13/E$9)</f>
        <v/>
      </c>
      <c r="G13" s="818">
        <f>G9-G14</f>
        <v>0</v>
      </c>
      <c r="H13" s="813" t="str">
        <f>IF(G13=0,"",G13/G$9)</f>
        <v/>
      </c>
      <c r="I13" s="787">
        <f>I9-I14</f>
        <v>0</v>
      </c>
      <c r="J13" s="813" t="str">
        <f>IF(I13=0,"",I13/I$9)</f>
        <v/>
      </c>
      <c r="K13" s="787">
        <f>K9-K14</f>
        <v>0</v>
      </c>
      <c r="L13" s="813" t="str">
        <f>IF(K13=0,"",K13/K$9)</f>
        <v/>
      </c>
      <c r="M13" s="787">
        <f>M9-M14</f>
        <v>0</v>
      </c>
      <c r="N13" s="813" t="str">
        <f>IF(M13=0,"",M13/M$9)</f>
        <v/>
      </c>
      <c r="O13" s="787">
        <f>O9-O14</f>
        <v>0</v>
      </c>
      <c r="P13" s="827" t="str">
        <f>IF(O13=0,"",O13/O$9)</f>
        <v/>
      </c>
      <c r="Q13" s="446"/>
      <c r="R13" s="786">
        <f t="shared" si="0"/>
        <v>0</v>
      </c>
      <c r="S13" s="808" t="str">
        <f t="shared" ref="S13:S23" si="2">IF(R13=0,"",R13/R$9)</f>
        <v/>
      </c>
      <c r="T13" s="1566" t="s">
        <v>457</v>
      </c>
      <c r="U13" s="1523"/>
      <c r="X13" s="100"/>
      <c r="AV13" s="100"/>
      <c r="BT13" s="100"/>
    </row>
    <row r="14" spans="1:72" s="4" customFormat="1" ht="27" customHeight="1" thickBot="1" x14ac:dyDescent="0.25">
      <c r="A14" s="2180" t="s">
        <v>44</v>
      </c>
      <c r="B14" s="2179"/>
      <c r="C14" s="2179"/>
      <c r="D14" s="2030"/>
      <c r="E14" s="337">
        <f>E9-E13</f>
        <v>0</v>
      </c>
      <c r="F14" s="802" t="str">
        <f t="shared" si="1"/>
        <v/>
      </c>
      <c r="G14" s="944">
        <f>G9*H14</f>
        <v>0</v>
      </c>
      <c r="H14" s="947"/>
      <c r="I14" s="787">
        <f>I9*J14</f>
        <v>0</v>
      </c>
      <c r="J14" s="947"/>
      <c r="K14" s="787">
        <f>K9*L14</f>
        <v>0</v>
      </c>
      <c r="L14" s="947"/>
      <c r="M14" s="787">
        <f>M9*N14</f>
        <v>0</v>
      </c>
      <c r="N14" s="947"/>
      <c r="O14" s="787">
        <f>O9*P14</f>
        <v>0</v>
      </c>
      <c r="P14" s="947"/>
      <c r="Q14" s="836"/>
      <c r="R14" s="786">
        <f t="shared" si="0"/>
        <v>0</v>
      </c>
      <c r="S14" s="808" t="str">
        <f t="shared" si="2"/>
        <v/>
      </c>
      <c r="T14" s="951">
        <f>R14-E14</f>
        <v>0</v>
      </c>
      <c r="U14" s="952" t="e">
        <f>S14-F14</f>
        <v>#VALUE!</v>
      </c>
      <c r="X14" s="100"/>
      <c r="AV14" s="100"/>
      <c r="BT14" s="100"/>
    </row>
    <row r="15" spans="1:72" s="4" customFormat="1" ht="27" customHeight="1" x14ac:dyDescent="0.2">
      <c r="A15" s="2166" t="s">
        <v>489</v>
      </c>
      <c r="B15" s="2169" t="s">
        <v>490</v>
      </c>
      <c r="C15" s="2170"/>
      <c r="D15" s="2171"/>
      <c r="E15" s="191">
        <f>SUMIF('財務諸表（入力）'!$C$143:$C$155,"V",'財務諸表（入力）'!$J$143:$J$155)</f>
        <v>0</v>
      </c>
      <c r="F15" s="847" t="str">
        <f t="shared" si="1"/>
        <v/>
      </c>
      <c r="G15" s="848">
        <f>$E15*G$7</f>
        <v>0</v>
      </c>
      <c r="H15" s="945" t="str">
        <f t="shared" ref="H15:H20" si="3">IF(G15=0,"",G15/G$9)</f>
        <v/>
      </c>
      <c r="I15" s="850">
        <f t="shared" ref="I15" si="4">$E15*I$7</f>
        <v>0</v>
      </c>
      <c r="J15" s="945" t="str">
        <f t="shared" ref="J15" si="5">IF(I15=0,"",I15/I$9)</f>
        <v/>
      </c>
      <c r="K15" s="850">
        <f t="shared" ref="K15" si="6">$E15*K$7</f>
        <v>0</v>
      </c>
      <c r="L15" s="945" t="str">
        <f t="shared" ref="L15" si="7">IF(K15=0,"",K15/K$9)</f>
        <v/>
      </c>
      <c r="M15" s="850">
        <f t="shared" ref="M15" si="8">$E15*M$7</f>
        <v>0</v>
      </c>
      <c r="N15" s="945" t="str">
        <f t="shared" ref="N15" si="9">IF(M15=0,"",M15/M$9)</f>
        <v/>
      </c>
      <c r="O15" s="850">
        <f t="shared" ref="O15" si="10">$E15*O$7</f>
        <v>0</v>
      </c>
      <c r="P15" s="946" t="str">
        <f t="shared" ref="P15" si="11">IF(O15=0,"",O15/O$9)</f>
        <v/>
      </c>
      <c r="Q15" s="941"/>
      <c r="R15" s="853">
        <f t="shared" si="0"/>
        <v>0</v>
      </c>
      <c r="S15" s="849" t="str">
        <f t="shared" si="2"/>
        <v/>
      </c>
      <c r="T15" s="937"/>
      <c r="U15" s="838"/>
      <c r="X15" s="100"/>
      <c r="AV15" s="100"/>
      <c r="BT15" s="100"/>
    </row>
    <row r="16" spans="1:72" s="4" customFormat="1" ht="21" customHeight="1" x14ac:dyDescent="0.2">
      <c r="A16" s="2167"/>
      <c r="B16" s="2172" t="s">
        <v>359</v>
      </c>
      <c r="C16" s="2181" t="s">
        <v>458</v>
      </c>
      <c r="D16" s="2182"/>
      <c r="E16" s="125">
        <f>SUM('財務諸表（入力）'!J138:J141)</f>
        <v>0</v>
      </c>
      <c r="F16" s="821" t="str">
        <f t="shared" si="1"/>
        <v/>
      </c>
      <c r="G16" s="820" t="e">
        <f>$E16*G8/$R8</f>
        <v>#DIV/0!</v>
      </c>
      <c r="H16" s="810" t="e">
        <f t="shared" si="3"/>
        <v>#DIV/0!</v>
      </c>
      <c r="I16" s="790" t="e">
        <f>$E16*I8/$R8</f>
        <v>#DIV/0!</v>
      </c>
      <c r="J16" s="810" t="e">
        <f>IF(I16=0,"",I16/I$9)</f>
        <v>#DIV/0!</v>
      </c>
      <c r="K16" s="790" t="e">
        <f>$E16*K8/$R8</f>
        <v>#DIV/0!</v>
      </c>
      <c r="L16" s="810" t="e">
        <f>IF(K16=0,"",K16/K$9)</f>
        <v>#DIV/0!</v>
      </c>
      <c r="M16" s="790" t="e">
        <f>$E16*M8/$R8</f>
        <v>#DIV/0!</v>
      </c>
      <c r="N16" s="810" t="e">
        <f>IF(M16=0,"",M16/M$9)</f>
        <v>#DIV/0!</v>
      </c>
      <c r="O16" s="790" t="e">
        <f>$E16*O8/$R8</f>
        <v>#DIV/0!</v>
      </c>
      <c r="P16" s="821" t="e">
        <f>IF(O16=0,"",O16/O$9)</f>
        <v>#DIV/0!</v>
      </c>
      <c r="Q16" s="830"/>
      <c r="R16" s="125" t="e">
        <f t="shared" si="0"/>
        <v>#DIV/0!</v>
      </c>
      <c r="S16" s="810" t="e">
        <f t="shared" si="2"/>
        <v>#DIV/0!</v>
      </c>
      <c r="T16" s="785"/>
      <c r="X16" s="100"/>
      <c r="AV16" s="100"/>
      <c r="BT16" s="100"/>
    </row>
    <row r="17" spans="1:91" s="4" customFormat="1" ht="21" customHeight="1" x14ac:dyDescent="0.2">
      <c r="A17" s="2167"/>
      <c r="B17" s="2172"/>
      <c r="C17" s="2183" t="s">
        <v>443</v>
      </c>
      <c r="D17" s="2182"/>
      <c r="E17" s="125">
        <f>'財務諸表（入力）'!J142</f>
        <v>0</v>
      </c>
      <c r="F17" s="803" t="str">
        <f t="shared" si="1"/>
        <v/>
      </c>
      <c r="G17" s="820">
        <f>$E17*G$7</f>
        <v>0</v>
      </c>
      <c r="H17" s="809" t="str">
        <f t="shared" si="3"/>
        <v/>
      </c>
      <c r="I17" s="789">
        <f>$E17*I$7</f>
        <v>0</v>
      </c>
      <c r="J17" s="809" t="str">
        <f>IF(I17=0,"",I17/I$9)</f>
        <v/>
      </c>
      <c r="K17" s="789">
        <f>$E17*K$7</f>
        <v>0</v>
      </c>
      <c r="L17" s="809" t="str">
        <f>IF(K17=0,"",K17/K$9)</f>
        <v/>
      </c>
      <c r="M17" s="789">
        <f>$E17*M$7</f>
        <v>0</v>
      </c>
      <c r="N17" s="809" t="str">
        <f>IF(M17=0,"",M17/M$9)</f>
        <v/>
      </c>
      <c r="O17" s="789">
        <f>$E17*O$7</f>
        <v>0</v>
      </c>
      <c r="P17" s="819" t="str">
        <f>IF(O17=0,"",O17/O$9)</f>
        <v/>
      </c>
      <c r="Q17" s="830"/>
      <c r="R17" s="125">
        <f t="shared" si="0"/>
        <v>0</v>
      </c>
      <c r="S17" s="810" t="str">
        <f t="shared" si="2"/>
        <v/>
      </c>
      <c r="T17" s="785"/>
      <c r="X17" s="100"/>
      <c r="AV17" s="100"/>
      <c r="BT17" s="100"/>
    </row>
    <row r="18" spans="1:91" s="4" customFormat="1" ht="21" customHeight="1" x14ac:dyDescent="0.2">
      <c r="A18" s="2167"/>
      <c r="B18" s="2173"/>
      <c r="C18" s="2164" t="s">
        <v>491</v>
      </c>
      <c r="D18" s="2165"/>
      <c r="E18" s="267">
        <f>SUMIF('財務諸表（入力）'!$C$143:$C$155,"F",'財務諸表（入力）'!$J$143:$J$155)</f>
        <v>0</v>
      </c>
      <c r="F18" s="805" t="str">
        <f t="shared" si="1"/>
        <v/>
      </c>
      <c r="G18" s="822">
        <f>$E18*G$7</f>
        <v>0</v>
      </c>
      <c r="H18" s="811" t="str">
        <f t="shared" si="3"/>
        <v/>
      </c>
      <c r="I18" s="791">
        <f>$E18*I$7</f>
        <v>0</v>
      </c>
      <c r="J18" s="811" t="str">
        <f>IF(I18=0,"",I18/I$9)</f>
        <v/>
      </c>
      <c r="K18" s="791">
        <f>$E18*K$7</f>
        <v>0</v>
      </c>
      <c r="L18" s="811" t="str">
        <f>IF(K18=0,"",K18/K$9)</f>
        <v/>
      </c>
      <c r="M18" s="791">
        <f>$E18*M$7</f>
        <v>0</v>
      </c>
      <c r="N18" s="811" t="str">
        <f>IF(M18=0,"",M18/M$9)</f>
        <v/>
      </c>
      <c r="O18" s="791">
        <f>$E18*O$7</f>
        <v>0</v>
      </c>
      <c r="P18" s="823" t="str">
        <f>IF(O18=0,"",O18/O$9)</f>
        <v/>
      </c>
      <c r="Q18" s="831"/>
      <c r="R18" s="267">
        <f t="shared" si="0"/>
        <v>0</v>
      </c>
      <c r="S18" s="811" t="str">
        <f t="shared" si="2"/>
        <v/>
      </c>
      <c r="T18" s="785"/>
      <c r="X18" s="100"/>
      <c r="AV18" s="100"/>
      <c r="BT18" s="100"/>
    </row>
    <row r="19" spans="1:91" ht="21.75" customHeight="1" thickBot="1" x14ac:dyDescent="0.25">
      <c r="A19" s="2168"/>
      <c r="B19" s="935"/>
      <c r="C19" s="245"/>
      <c r="D19" s="792" t="s">
        <v>184</v>
      </c>
      <c r="E19" s="239">
        <f>E15+E16+E17+E18</f>
        <v>0</v>
      </c>
      <c r="F19" s="806" t="str">
        <f t="shared" si="1"/>
        <v/>
      </c>
      <c r="G19" s="858" t="e">
        <f>G15+G16+G17+G18</f>
        <v>#DIV/0!</v>
      </c>
      <c r="H19" s="859" t="e">
        <f t="shared" si="3"/>
        <v>#DIV/0!</v>
      </c>
      <c r="I19" s="860" t="e">
        <f>I15+I16+I17+I18</f>
        <v>#DIV/0!</v>
      </c>
      <c r="J19" s="859" t="e">
        <f>IF(I19=0,"",I19/I$9)</f>
        <v>#DIV/0!</v>
      </c>
      <c r="K19" s="860" t="e">
        <f>K15+K16+K17+K18</f>
        <v>#DIV/0!</v>
      </c>
      <c r="L19" s="859" t="e">
        <f>IF(K19=0,"",K19/K$9)</f>
        <v>#DIV/0!</v>
      </c>
      <c r="M19" s="860" t="e">
        <f>M15+M16+M17+M18</f>
        <v>#DIV/0!</v>
      </c>
      <c r="N19" s="859" t="e">
        <f>IF(M19=0,"",M19/M$9)</f>
        <v>#DIV/0!</v>
      </c>
      <c r="O19" s="860" t="e">
        <f>O15+O16+O17+O18</f>
        <v>#DIV/0!</v>
      </c>
      <c r="P19" s="861" t="e">
        <f>IF(O19=0,"",O19/O$9)</f>
        <v>#DIV/0!</v>
      </c>
      <c r="Q19" s="454"/>
      <c r="R19" s="239" t="e">
        <f t="shared" si="0"/>
        <v>#DIV/0!</v>
      </c>
      <c r="S19" s="859" t="e">
        <f t="shared" si="2"/>
        <v>#DIV/0!</v>
      </c>
      <c r="T19" s="785"/>
    </row>
    <row r="20" spans="1:91" ht="21.75" customHeight="1" thickBot="1" x14ac:dyDescent="0.25">
      <c r="A20" s="1464" t="s">
        <v>49</v>
      </c>
      <c r="B20" s="1521"/>
      <c r="C20" s="1521"/>
      <c r="D20" s="1561"/>
      <c r="E20" s="166">
        <f>E14-E19</f>
        <v>0</v>
      </c>
      <c r="F20" s="807" t="str">
        <f t="shared" si="1"/>
        <v/>
      </c>
      <c r="G20" s="624" t="e">
        <f>G14-G19</f>
        <v>#DIV/0!</v>
      </c>
      <c r="H20" s="812" t="e">
        <f t="shared" si="3"/>
        <v>#DIV/0!</v>
      </c>
      <c r="I20" s="166" t="e">
        <f>I14-I19</f>
        <v>#DIV/0!</v>
      </c>
      <c r="J20" s="812" t="e">
        <f>IF(I20=0,"",I20/I$9)</f>
        <v>#DIV/0!</v>
      </c>
      <c r="K20" s="166" t="e">
        <f>K14-K19</f>
        <v>#DIV/0!</v>
      </c>
      <c r="L20" s="812" t="e">
        <f>IF(K20=0,"",K20/K$9)</f>
        <v>#DIV/0!</v>
      </c>
      <c r="M20" s="166" t="e">
        <f>M14-M19</f>
        <v>#DIV/0!</v>
      </c>
      <c r="N20" s="812" t="e">
        <f>IF(M20=0,"",M20/M$9)</f>
        <v>#DIV/0!</v>
      </c>
      <c r="O20" s="166" t="e">
        <f>O14-O19</f>
        <v>#DIV/0!</v>
      </c>
      <c r="P20" s="814" t="e">
        <f>IF(O20=0,"",O20/O$9)</f>
        <v>#DIV/0!</v>
      </c>
      <c r="Q20" s="832"/>
      <c r="R20" s="166" t="e">
        <f t="shared" si="0"/>
        <v>#DIV/0!</v>
      </c>
      <c r="S20" s="814" t="e">
        <f t="shared" si="2"/>
        <v>#DIV/0!</v>
      </c>
      <c r="T20" s="785"/>
      <c r="U20" s="838"/>
    </row>
    <row r="21" spans="1:91" ht="21.75" customHeight="1" x14ac:dyDescent="0.2">
      <c r="A21" s="2152" t="s">
        <v>492</v>
      </c>
      <c r="B21" s="2154" t="s">
        <v>486</v>
      </c>
      <c r="C21" s="1610"/>
      <c r="D21" s="1610"/>
      <c r="E21" s="942">
        <f>'財務諸表（入力）'!J162</f>
        <v>0</v>
      </c>
      <c r="F21" s="809" t="str">
        <f t="shared" si="1"/>
        <v/>
      </c>
      <c r="G21" s="942">
        <f t="shared" ref="G21:O22" si="12">$E21*G$7</f>
        <v>0</v>
      </c>
      <c r="H21" s="809" t="str">
        <f t="shared" ref="H21:P23" si="13">IF(G21=0,"",G21/G$9)</f>
        <v/>
      </c>
      <c r="I21" s="942">
        <f t="shared" si="12"/>
        <v>0</v>
      </c>
      <c r="J21" s="809" t="str">
        <f t="shared" si="13"/>
        <v/>
      </c>
      <c r="K21" s="942">
        <f t="shared" si="12"/>
        <v>0</v>
      </c>
      <c r="L21" s="809" t="str">
        <f t="shared" si="13"/>
        <v/>
      </c>
      <c r="M21" s="942">
        <f t="shared" si="12"/>
        <v>0</v>
      </c>
      <c r="N21" s="809" t="str">
        <f t="shared" si="13"/>
        <v/>
      </c>
      <c r="O21" s="942">
        <f t="shared" si="12"/>
        <v>0</v>
      </c>
      <c r="P21" s="809" t="str">
        <f t="shared" si="13"/>
        <v/>
      </c>
      <c r="Q21" s="809"/>
      <c r="R21" s="942">
        <f t="shared" si="0"/>
        <v>0</v>
      </c>
      <c r="S21" s="809" t="str">
        <f t="shared" si="2"/>
        <v/>
      </c>
      <c r="T21" s="785"/>
      <c r="U21" s="838"/>
    </row>
    <row r="22" spans="1:91" ht="21.75" customHeight="1" thickBot="1" x14ac:dyDescent="0.25">
      <c r="A22" s="2153"/>
      <c r="B22" s="2155" t="s">
        <v>487</v>
      </c>
      <c r="C22" s="1608"/>
      <c r="D22" s="1608"/>
      <c r="E22" s="273">
        <f>'財務諸表（入力）'!J165</f>
        <v>0</v>
      </c>
      <c r="F22" s="943" t="str">
        <f t="shared" si="1"/>
        <v/>
      </c>
      <c r="G22" s="273">
        <f t="shared" si="12"/>
        <v>0</v>
      </c>
      <c r="H22" s="943" t="str">
        <f t="shared" si="13"/>
        <v/>
      </c>
      <c r="I22" s="273">
        <f t="shared" si="12"/>
        <v>0</v>
      </c>
      <c r="J22" s="943" t="str">
        <f t="shared" si="13"/>
        <v/>
      </c>
      <c r="K22" s="273">
        <f t="shared" si="12"/>
        <v>0</v>
      </c>
      <c r="L22" s="943" t="str">
        <f t="shared" si="13"/>
        <v/>
      </c>
      <c r="M22" s="273">
        <f t="shared" si="12"/>
        <v>0</v>
      </c>
      <c r="N22" s="943" t="str">
        <f t="shared" si="13"/>
        <v/>
      </c>
      <c r="O22" s="273">
        <f t="shared" si="12"/>
        <v>0</v>
      </c>
      <c r="P22" s="943" t="str">
        <f t="shared" si="13"/>
        <v/>
      </c>
      <c r="Q22" s="943"/>
      <c r="R22" s="273">
        <f t="shared" si="0"/>
        <v>0</v>
      </c>
      <c r="S22" s="943" t="str">
        <f t="shared" si="2"/>
        <v/>
      </c>
      <c r="T22" s="785"/>
      <c r="U22" s="838"/>
    </row>
    <row r="23" spans="1:91" ht="21.75" customHeight="1" thickBot="1" x14ac:dyDescent="0.25">
      <c r="A23" s="2156" t="s">
        <v>488</v>
      </c>
      <c r="B23" s="2157"/>
      <c r="C23" s="2157"/>
      <c r="D23" s="2157"/>
      <c r="E23" s="166">
        <f>E20+E21-E22</f>
        <v>0</v>
      </c>
      <c r="F23" s="812" t="str">
        <f t="shared" si="1"/>
        <v/>
      </c>
      <c r="G23" s="166" t="e">
        <f t="shared" ref="G23" si="14">G20+G21-G22</f>
        <v>#DIV/0!</v>
      </c>
      <c r="H23" s="812" t="e">
        <f t="shared" si="13"/>
        <v>#DIV/0!</v>
      </c>
      <c r="I23" s="166" t="e">
        <f t="shared" ref="I23" si="15">I20+I21-I22</f>
        <v>#DIV/0!</v>
      </c>
      <c r="J23" s="812" t="e">
        <f t="shared" si="13"/>
        <v>#DIV/0!</v>
      </c>
      <c r="K23" s="166" t="e">
        <f t="shared" ref="K23" si="16">K20+K21-K22</f>
        <v>#DIV/0!</v>
      </c>
      <c r="L23" s="812" t="e">
        <f t="shared" si="13"/>
        <v>#DIV/0!</v>
      </c>
      <c r="M23" s="166" t="e">
        <f t="shared" ref="M23" si="17">M20+M21-M22</f>
        <v>#DIV/0!</v>
      </c>
      <c r="N23" s="812" t="e">
        <f t="shared" si="13"/>
        <v>#DIV/0!</v>
      </c>
      <c r="O23" s="166" t="e">
        <f t="shared" ref="O23" si="18">O20+O21-O22</f>
        <v>#DIV/0!</v>
      </c>
      <c r="P23" s="812" t="e">
        <f t="shared" si="13"/>
        <v>#DIV/0!</v>
      </c>
      <c r="Q23" s="812"/>
      <c r="R23" s="166" t="e">
        <f t="shared" si="0"/>
        <v>#DIV/0!</v>
      </c>
      <c r="S23" s="814" t="e">
        <f t="shared" si="2"/>
        <v>#DIV/0!</v>
      </c>
      <c r="T23" s="785"/>
      <c r="U23" s="838"/>
    </row>
    <row r="24" spans="1:91" s="104" customFormat="1" ht="13.8" thickBot="1" x14ac:dyDescent="0.25">
      <c r="A24" s="103"/>
      <c r="B24" s="100"/>
      <c r="C24" s="100"/>
      <c r="D24" s="100"/>
      <c r="E24" s="100"/>
      <c r="F24" s="357"/>
      <c r="G24" s="785"/>
      <c r="H24" s="357"/>
      <c r="I24" s="785"/>
      <c r="J24" s="357"/>
      <c r="K24" s="785"/>
      <c r="L24" s="357"/>
      <c r="M24" s="785"/>
      <c r="N24" s="357"/>
      <c r="O24" s="785"/>
      <c r="P24" s="357"/>
      <c r="Q24" s="357"/>
      <c r="R24" s="785"/>
      <c r="S24" s="357"/>
      <c r="T24" s="4"/>
      <c r="U24" s="4"/>
      <c r="V24" s="4"/>
      <c r="W24" s="4"/>
      <c r="X24" s="100"/>
      <c r="Y24" s="4"/>
      <c r="Z24" s="4"/>
      <c r="AA24" s="4"/>
      <c r="AB24" s="4"/>
      <c r="AC24" s="4"/>
      <c r="AD24" s="4"/>
      <c r="AE24" s="4"/>
      <c r="AF24" s="4"/>
      <c r="AG24" s="4"/>
      <c r="AH24" s="4"/>
      <c r="AI24" s="4"/>
      <c r="AJ24" s="4"/>
      <c r="AK24" s="4"/>
      <c r="AL24" s="4"/>
      <c r="AM24" s="4"/>
      <c r="AN24" s="4"/>
      <c r="AO24" s="4"/>
      <c r="AP24" s="4"/>
      <c r="AQ24" s="4"/>
      <c r="AR24" s="4"/>
      <c r="AS24" s="4"/>
      <c r="AT24" s="4"/>
      <c r="AU24" s="4"/>
      <c r="AV24" s="100"/>
      <c r="AW24" s="4"/>
      <c r="AX24" s="4"/>
      <c r="AY24" s="4"/>
      <c r="AZ24" s="4"/>
      <c r="BA24" s="4"/>
      <c r="BB24" s="4"/>
      <c r="BC24" s="4"/>
      <c r="BD24" s="4"/>
      <c r="BE24" s="4"/>
      <c r="BF24" s="4"/>
      <c r="BG24" s="4"/>
      <c r="BH24" s="4"/>
      <c r="BI24" s="4"/>
      <c r="BJ24" s="4"/>
      <c r="BK24" s="4"/>
      <c r="BL24" s="4"/>
      <c r="BM24" s="4"/>
      <c r="BN24" s="4"/>
      <c r="BO24" s="4"/>
      <c r="BP24" s="4"/>
      <c r="BQ24" s="4"/>
      <c r="BR24" s="4"/>
      <c r="BS24" s="4"/>
      <c r="BT24" s="100"/>
      <c r="BU24" s="4"/>
      <c r="BV24" s="4"/>
      <c r="BW24" s="4"/>
      <c r="BX24" s="4"/>
      <c r="BY24" s="4"/>
      <c r="BZ24" s="4"/>
      <c r="CA24" s="4"/>
      <c r="CB24" s="4"/>
      <c r="CC24" s="4"/>
      <c r="CD24" s="4"/>
      <c r="CE24" s="4"/>
      <c r="CF24" s="4"/>
      <c r="CG24" s="4"/>
      <c r="CH24" s="4"/>
      <c r="CI24" s="4"/>
      <c r="CJ24" s="4"/>
      <c r="CK24" s="4"/>
      <c r="CL24" s="4"/>
      <c r="CM24" s="4"/>
    </row>
    <row r="25" spans="1:91" s="104" customFormat="1" ht="21" customHeight="1" x14ac:dyDescent="0.2">
      <c r="A25" s="2158" t="s">
        <v>461</v>
      </c>
      <c r="B25" s="1555" t="s">
        <v>459</v>
      </c>
      <c r="C25" s="1556"/>
      <c r="D25" s="1556"/>
      <c r="E25" s="191" t="e">
        <f>(E11+E12+E16+E17+E18+E22-E21)/F26</f>
        <v>#VALUE!</v>
      </c>
      <c r="F25" s="847" t="e">
        <f>IF(E25=0,"",E25/E$9)</f>
        <v>#VALUE!</v>
      </c>
      <c r="G25" s="862" t="e">
        <f t="shared" ref="G25" si="19">(G11+G12+G16+G17+G18+G22-G21)/H26</f>
        <v>#DIV/0!</v>
      </c>
      <c r="H25" s="863" t="e">
        <f t="shared" ref="H25" si="20">IF(G25=0,"",G25/G$9)</f>
        <v>#DIV/0!</v>
      </c>
      <c r="I25" s="864" t="e">
        <f t="shared" ref="I25" si="21">(I11+I12+I16+I17+I18+I22-I21)/J26</f>
        <v>#DIV/0!</v>
      </c>
      <c r="J25" s="863" t="e">
        <f t="shared" ref="J25" si="22">IF(I25=0,"",I25/I$9)</f>
        <v>#DIV/0!</v>
      </c>
      <c r="K25" s="864" t="e">
        <f t="shared" ref="K25" si="23">(K11+K12+K16+K17+K18+K22-K21)/L26</f>
        <v>#DIV/0!</v>
      </c>
      <c r="L25" s="863" t="e">
        <f t="shared" ref="L25" si="24">IF(K25=0,"",K25/K$9)</f>
        <v>#DIV/0!</v>
      </c>
      <c r="M25" s="864" t="e">
        <f t="shared" ref="M25" si="25">(M11+M12+M16+M17+M18+M22-M21)/N26</f>
        <v>#DIV/0!</v>
      </c>
      <c r="N25" s="863" t="e">
        <f t="shared" ref="N25" si="26">IF(M25=0,"",M25/M$9)</f>
        <v>#DIV/0!</v>
      </c>
      <c r="O25" s="864" t="e">
        <f t="shared" ref="O25" si="27">(O11+O12+O16+O17+O18+O22-O21)/P26</f>
        <v>#DIV/0!</v>
      </c>
      <c r="P25" s="865" t="e">
        <f t="shared" ref="P25" si="28">IF(O25=0,"",O25/O$9)</f>
        <v>#DIV/0!</v>
      </c>
      <c r="Q25" s="357"/>
      <c r="R25" s="785"/>
      <c r="S25" s="357"/>
      <c r="T25" s="4"/>
      <c r="U25" s="4"/>
      <c r="V25" s="4"/>
      <c r="W25" s="4"/>
      <c r="X25" s="100"/>
      <c r="Y25" s="4"/>
      <c r="Z25" s="4"/>
      <c r="AA25" s="4"/>
      <c r="AB25" s="4"/>
      <c r="AC25" s="4"/>
      <c r="AD25" s="4"/>
      <c r="AE25" s="4"/>
      <c r="AF25" s="4"/>
      <c r="AG25" s="4"/>
      <c r="AH25" s="4"/>
      <c r="AI25" s="4"/>
      <c r="AJ25" s="4"/>
      <c r="AK25" s="4"/>
      <c r="AL25" s="4"/>
      <c r="AM25" s="4"/>
      <c r="AN25" s="4"/>
      <c r="AO25" s="4"/>
      <c r="AP25" s="4"/>
      <c r="AQ25" s="4"/>
      <c r="AR25" s="4"/>
      <c r="AS25" s="4"/>
      <c r="AT25" s="4"/>
      <c r="AU25" s="4"/>
      <c r="AV25" s="100"/>
      <c r="AW25" s="4"/>
      <c r="AX25" s="4"/>
      <c r="AY25" s="4"/>
      <c r="AZ25" s="4"/>
      <c r="BA25" s="4"/>
      <c r="BB25" s="4"/>
      <c r="BC25" s="4"/>
      <c r="BD25" s="4"/>
      <c r="BE25" s="4"/>
      <c r="BF25" s="4"/>
      <c r="BG25" s="4"/>
      <c r="BH25" s="4"/>
      <c r="BI25" s="4"/>
      <c r="BJ25" s="4"/>
      <c r="BK25" s="4"/>
      <c r="BL25" s="4"/>
      <c r="BM25" s="4"/>
      <c r="BN25" s="4"/>
      <c r="BO25" s="4"/>
      <c r="BP25" s="4"/>
      <c r="BQ25" s="4"/>
      <c r="BR25" s="4"/>
      <c r="BS25" s="4"/>
      <c r="BT25" s="100"/>
      <c r="BU25" s="4"/>
      <c r="BV25" s="4"/>
      <c r="BW25" s="4"/>
      <c r="BX25" s="4"/>
      <c r="BY25" s="4"/>
      <c r="BZ25" s="4"/>
      <c r="CA25" s="4"/>
      <c r="CB25" s="4"/>
      <c r="CC25" s="4"/>
      <c r="CD25" s="4"/>
      <c r="CE25" s="4"/>
      <c r="CF25" s="4"/>
      <c r="CG25" s="4"/>
      <c r="CH25" s="4"/>
      <c r="CI25" s="4"/>
      <c r="CJ25" s="4"/>
      <c r="CK25" s="4"/>
      <c r="CL25" s="4"/>
      <c r="CM25" s="4"/>
    </row>
    <row r="26" spans="1:91" s="104" customFormat="1" ht="21" customHeight="1" thickBot="1" x14ac:dyDescent="0.25">
      <c r="A26" s="2159"/>
      <c r="B26" s="1473" t="s">
        <v>460</v>
      </c>
      <c r="C26" s="1519"/>
      <c r="D26" s="1519"/>
      <c r="E26" s="194">
        <f>E9-E10-E15</f>
        <v>0</v>
      </c>
      <c r="F26" s="805" t="str">
        <f>IF(E26=0,"",E26/E$9)</f>
        <v/>
      </c>
      <c r="G26" s="866" t="e">
        <f t="shared" ref="G26" si="29">G9-G10-G15</f>
        <v>#DIV/0!</v>
      </c>
      <c r="H26" s="867" t="e">
        <f t="shared" ref="H26" si="30">IF(G26=0,"",G26/G$9)</f>
        <v>#DIV/0!</v>
      </c>
      <c r="I26" s="868" t="e">
        <f t="shared" ref="I26" si="31">I9-I10-I15</f>
        <v>#DIV/0!</v>
      </c>
      <c r="J26" s="867" t="e">
        <f t="shared" ref="J26" si="32">IF(I26=0,"",I26/I$9)</f>
        <v>#DIV/0!</v>
      </c>
      <c r="K26" s="868" t="e">
        <f t="shared" ref="K26" si="33">K9-K10-K15</f>
        <v>#DIV/0!</v>
      </c>
      <c r="L26" s="867" t="e">
        <f t="shared" ref="L26" si="34">IF(K26=0,"",K26/K$9)</f>
        <v>#DIV/0!</v>
      </c>
      <c r="M26" s="868" t="e">
        <f t="shared" ref="M26" si="35">M9-M10-M15</f>
        <v>#DIV/0!</v>
      </c>
      <c r="N26" s="867" t="e">
        <f t="shared" ref="N26" si="36">IF(M26=0,"",M26/M$9)</f>
        <v>#DIV/0!</v>
      </c>
      <c r="O26" s="868" t="e">
        <f t="shared" ref="O26" si="37">O9-O10-O15</f>
        <v>#DIV/0!</v>
      </c>
      <c r="P26" s="869" t="e">
        <f t="shared" ref="P26" si="38">IF(O26=0,"",O26/O$9)</f>
        <v>#DIV/0!</v>
      </c>
      <c r="Q26" s="357"/>
      <c r="R26" s="785"/>
      <c r="S26" s="357"/>
      <c r="T26" s="4"/>
      <c r="U26" s="4"/>
      <c r="V26" s="4"/>
      <c r="W26" s="4"/>
      <c r="X26" s="100"/>
      <c r="Y26" s="4"/>
      <c r="Z26" s="4"/>
      <c r="AA26" s="4"/>
      <c r="AB26" s="4"/>
      <c r="AC26" s="4"/>
      <c r="AD26" s="4"/>
      <c r="AE26" s="4"/>
      <c r="AF26" s="4"/>
      <c r="AG26" s="4"/>
      <c r="AH26" s="4"/>
      <c r="AI26" s="4"/>
      <c r="AJ26" s="4"/>
      <c r="AK26" s="4"/>
      <c r="AL26" s="4"/>
      <c r="AM26" s="4"/>
      <c r="AN26" s="4"/>
      <c r="AO26" s="4"/>
      <c r="AP26" s="4"/>
      <c r="AQ26" s="4"/>
      <c r="AR26" s="4"/>
      <c r="AS26" s="4"/>
      <c r="AT26" s="4"/>
      <c r="AU26" s="4"/>
      <c r="AV26" s="100"/>
      <c r="AW26" s="4"/>
      <c r="AX26" s="4"/>
      <c r="AY26" s="4"/>
      <c r="AZ26" s="4"/>
      <c r="BA26" s="4"/>
      <c r="BB26" s="4"/>
      <c r="BC26" s="4"/>
      <c r="BD26" s="4"/>
      <c r="BE26" s="4"/>
      <c r="BF26" s="4"/>
      <c r="BG26" s="4"/>
      <c r="BH26" s="4"/>
      <c r="BI26" s="4"/>
      <c r="BJ26" s="4"/>
      <c r="BK26" s="4"/>
      <c r="BL26" s="4"/>
      <c r="BM26" s="4"/>
      <c r="BN26" s="4"/>
      <c r="BO26" s="4"/>
      <c r="BP26" s="4"/>
      <c r="BQ26" s="4"/>
      <c r="BR26" s="4"/>
      <c r="BS26" s="4"/>
      <c r="BT26" s="100"/>
      <c r="BU26" s="4"/>
      <c r="BV26" s="4"/>
      <c r="BW26" s="4"/>
      <c r="BX26" s="4"/>
      <c r="BY26" s="4"/>
      <c r="BZ26" s="4"/>
      <c r="CA26" s="4"/>
      <c r="CB26" s="4"/>
      <c r="CC26" s="4"/>
      <c r="CD26" s="4"/>
      <c r="CE26" s="4"/>
      <c r="CF26" s="4"/>
      <c r="CG26" s="4"/>
      <c r="CH26" s="4"/>
      <c r="CI26" s="4"/>
      <c r="CJ26" s="4"/>
      <c r="CK26" s="4"/>
      <c r="CL26" s="4"/>
      <c r="CM26" s="4"/>
    </row>
    <row r="27" spans="1:91" s="104" customFormat="1" ht="32.25" customHeight="1" x14ac:dyDescent="0.2">
      <c r="A27" s="103"/>
      <c r="B27" s="2151" t="s">
        <v>464</v>
      </c>
      <c r="C27" s="1970"/>
      <c r="D27" s="1970"/>
      <c r="E27" s="100" t="e">
        <f>(E11+E16)/R8</f>
        <v>#DIV/0!</v>
      </c>
      <c r="F27" s="357"/>
      <c r="G27" s="785"/>
      <c r="H27" s="357"/>
      <c r="I27" s="785"/>
      <c r="J27" s="357"/>
      <c r="K27" s="785"/>
      <c r="L27" s="357"/>
      <c r="M27" s="785"/>
      <c r="N27" s="357"/>
      <c r="O27" s="785"/>
      <c r="P27" s="357"/>
      <c r="Q27" s="357"/>
      <c r="R27" s="785"/>
      <c r="S27" s="357"/>
      <c r="T27" s="4"/>
      <c r="U27" s="4"/>
      <c r="V27" s="4"/>
      <c r="W27" s="4"/>
      <c r="X27" s="100"/>
      <c r="Y27" s="4"/>
      <c r="Z27" s="4"/>
      <c r="AA27" s="4"/>
      <c r="AB27" s="4"/>
      <c r="AC27" s="4"/>
      <c r="AD27" s="4"/>
      <c r="AE27" s="4"/>
      <c r="AF27" s="4"/>
      <c r="AG27" s="4"/>
      <c r="AH27" s="4"/>
      <c r="AI27" s="4"/>
      <c r="AJ27" s="4"/>
      <c r="AK27" s="4"/>
      <c r="AL27" s="4"/>
      <c r="AM27" s="4"/>
      <c r="AN27" s="4"/>
      <c r="AO27" s="4"/>
      <c r="AP27" s="4"/>
      <c r="AQ27" s="4"/>
      <c r="AR27" s="4"/>
      <c r="AS27" s="4"/>
      <c r="AT27" s="4"/>
      <c r="AU27" s="4"/>
      <c r="AV27" s="100"/>
      <c r="AW27" s="4"/>
      <c r="AX27" s="4"/>
      <c r="AY27" s="4"/>
      <c r="AZ27" s="4"/>
      <c r="BA27" s="4"/>
      <c r="BB27" s="4"/>
      <c r="BC27" s="4"/>
      <c r="BD27" s="4"/>
      <c r="BE27" s="4"/>
      <c r="BF27" s="4"/>
      <c r="BG27" s="4"/>
      <c r="BH27" s="4"/>
      <c r="BI27" s="4"/>
      <c r="BJ27" s="4"/>
      <c r="BK27" s="4"/>
      <c r="BL27" s="4"/>
      <c r="BM27" s="4"/>
      <c r="BN27" s="4"/>
      <c r="BO27" s="4"/>
      <c r="BP27" s="4"/>
      <c r="BQ27" s="4"/>
      <c r="BR27" s="4"/>
      <c r="BS27" s="4"/>
      <c r="BT27" s="100"/>
      <c r="BU27" s="4"/>
      <c r="BV27" s="4"/>
      <c r="BW27" s="4"/>
      <c r="BX27" s="4"/>
      <c r="BY27" s="4"/>
      <c r="BZ27" s="4"/>
      <c r="CA27" s="4"/>
      <c r="CB27" s="4"/>
      <c r="CC27" s="4"/>
      <c r="CD27" s="4"/>
      <c r="CE27" s="4"/>
      <c r="CF27" s="4"/>
      <c r="CG27" s="4"/>
      <c r="CH27" s="4"/>
      <c r="CI27" s="4"/>
      <c r="CJ27" s="4"/>
      <c r="CK27" s="4"/>
      <c r="CL27" s="4"/>
      <c r="CM27" s="4"/>
    </row>
    <row r="29" spans="1:91" s="104" customFormat="1" ht="24.75" customHeight="1" x14ac:dyDescent="0.2">
      <c r="A29" s="97" t="s">
        <v>463</v>
      </c>
      <c r="B29" s="100"/>
      <c r="C29" s="100"/>
      <c r="D29" s="100"/>
      <c r="E29" s="100"/>
      <c r="F29" s="357"/>
      <c r="G29" s="785"/>
      <c r="H29" s="357"/>
      <c r="I29" s="785"/>
      <c r="J29" s="357"/>
      <c r="K29" s="785"/>
      <c r="L29" s="357"/>
      <c r="M29" s="785"/>
      <c r="N29" s="357"/>
      <c r="O29" s="785"/>
      <c r="P29" s="357"/>
      <c r="Q29" s="357"/>
      <c r="R29" s="785"/>
      <c r="S29" s="357"/>
      <c r="T29" s="4"/>
      <c r="U29" s="4"/>
      <c r="V29" s="4"/>
      <c r="W29" s="4"/>
      <c r="X29" s="100"/>
      <c r="Y29" s="4"/>
      <c r="Z29" s="4"/>
      <c r="AA29" s="4"/>
      <c r="AB29" s="4"/>
      <c r="AC29" s="4"/>
      <c r="AD29" s="4"/>
      <c r="AE29" s="4"/>
      <c r="AF29" s="4"/>
      <c r="AG29" s="4"/>
      <c r="AH29" s="4"/>
      <c r="AI29" s="4"/>
      <c r="AJ29" s="4"/>
      <c r="AK29" s="4"/>
      <c r="AL29" s="4"/>
      <c r="AM29" s="4"/>
      <c r="AN29" s="4"/>
      <c r="AO29" s="4"/>
      <c r="AP29" s="4"/>
      <c r="AQ29" s="4"/>
      <c r="AR29" s="4"/>
      <c r="AS29" s="4"/>
      <c r="AT29" s="4"/>
      <c r="AU29" s="4"/>
      <c r="AV29" s="100"/>
      <c r="AW29" s="4"/>
      <c r="AX29" s="4"/>
      <c r="AY29" s="4"/>
      <c r="AZ29" s="4"/>
      <c r="BA29" s="4"/>
      <c r="BB29" s="4"/>
      <c r="BC29" s="4"/>
      <c r="BD29" s="4"/>
      <c r="BE29" s="4"/>
      <c r="BF29" s="4"/>
      <c r="BG29" s="4"/>
      <c r="BH29" s="4"/>
      <c r="BI29" s="4"/>
      <c r="BJ29" s="4"/>
      <c r="BK29" s="4"/>
      <c r="BL29" s="4"/>
      <c r="BM29" s="4"/>
      <c r="BN29" s="4"/>
      <c r="BO29" s="4"/>
      <c r="BP29" s="4"/>
      <c r="BQ29" s="4"/>
      <c r="BR29" s="4"/>
      <c r="BS29" s="4"/>
      <c r="BT29" s="100"/>
      <c r="BU29" s="4"/>
      <c r="BV29" s="4"/>
      <c r="BW29" s="4"/>
      <c r="BX29" s="4"/>
      <c r="BY29" s="4"/>
      <c r="BZ29" s="4"/>
      <c r="CA29" s="4"/>
      <c r="CB29" s="4"/>
      <c r="CC29" s="4"/>
      <c r="CD29" s="4"/>
      <c r="CE29" s="4"/>
      <c r="CF29" s="4"/>
      <c r="CG29" s="4"/>
      <c r="CH29" s="4"/>
      <c r="CI29" s="4"/>
      <c r="CJ29" s="4"/>
      <c r="CK29" s="4"/>
      <c r="CL29" s="4"/>
      <c r="CM29" s="4"/>
    </row>
    <row r="30" spans="1:91" ht="32.25" customHeight="1" thickBot="1" x14ac:dyDescent="0.25">
      <c r="A30" s="2187" t="s">
        <v>454</v>
      </c>
      <c r="B30" s="1523"/>
      <c r="C30" s="1523"/>
      <c r="D30" s="1523"/>
      <c r="E30"/>
      <c r="F30"/>
      <c r="G30"/>
      <c r="H30"/>
      <c r="I30"/>
      <c r="J30"/>
      <c r="K30"/>
      <c r="L30"/>
      <c r="M30"/>
      <c r="N30"/>
      <c r="O30"/>
      <c r="P30"/>
      <c r="Q30"/>
      <c r="R30" s="2196"/>
      <c r="S30" s="1523"/>
    </row>
    <row r="31" spans="1:91" ht="40.5" customHeight="1" x14ac:dyDescent="0.2">
      <c r="A31" s="1467"/>
      <c r="B31" s="1506"/>
      <c r="C31" s="1506"/>
      <c r="D31" s="1506"/>
      <c r="E31" s="793" t="s">
        <v>453</v>
      </c>
      <c r="F31" s="2197" t="s">
        <v>367</v>
      </c>
      <c r="G31" s="825">
        <f>G6</f>
        <v>0</v>
      </c>
      <c r="H31" s="2174" t="s">
        <v>367</v>
      </c>
      <c r="I31" s="826">
        <f>I6</f>
        <v>0</v>
      </c>
      <c r="J31" s="2174" t="s">
        <v>367</v>
      </c>
      <c r="K31" s="826">
        <f>K6</f>
        <v>0</v>
      </c>
      <c r="L31" s="2174" t="s">
        <v>367</v>
      </c>
      <c r="M31" s="826">
        <f>M6</f>
        <v>0</v>
      </c>
      <c r="N31" s="2174" t="s">
        <v>367</v>
      </c>
      <c r="O31" s="826">
        <f>O6</f>
        <v>0</v>
      </c>
      <c r="P31" s="2176" t="s">
        <v>367</v>
      </c>
      <c r="Q31" s="837"/>
      <c r="R31" s="1885" t="s">
        <v>462</v>
      </c>
      <c r="S31" s="2188"/>
      <c r="T31" s="2188"/>
      <c r="U31" s="2189"/>
    </row>
    <row r="32" spans="1:91" ht="21.75" customHeight="1" x14ac:dyDescent="0.2">
      <c r="A32" s="1559"/>
      <c r="B32" s="1560"/>
      <c r="C32" s="1560"/>
      <c r="D32" s="1560"/>
      <c r="E32" s="794">
        <f>G32+I32+K32+M32+O32</f>
        <v>0</v>
      </c>
      <c r="F32" s="2186"/>
      <c r="G32" s="816"/>
      <c r="H32" s="2175"/>
      <c r="I32" s="798"/>
      <c r="J32" s="2175"/>
      <c r="K32" s="798"/>
      <c r="L32" s="2175"/>
      <c r="M32" s="798"/>
      <c r="N32" s="2175"/>
      <c r="O32" s="798"/>
      <c r="P32" s="2177"/>
      <c r="Q32" s="835"/>
      <c r="R32" s="2190"/>
      <c r="S32" s="2191"/>
      <c r="T32" s="2191"/>
      <c r="U32" s="2192"/>
    </row>
    <row r="33" spans="1:72" ht="21.75" customHeight="1" thickBot="1" x14ac:dyDescent="0.25">
      <c r="A33" s="841"/>
      <c r="B33" s="842"/>
      <c r="C33" s="842"/>
      <c r="D33" s="842"/>
      <c r="E33" s="795">
        <f>G33+I33+K33+M33+O33</f>
        <v>0</v>
      </c>
      <c r="F33" s="2186"/>
      <c r="G33" s="817"/>
      <c r="H33" s="2175"/>
      <c r="I33" s="799"/>
      <c r="J33" s="2175"/>
      <c r="K33" s="799"/>
      <c r="L33" s="2175"/>
      <c r="M33" s="799"/>
      <c r="N33" s="2175"/>
      <c r="O33" s="799"/>
      <c r="P33" s="2177"/>
      <c r="Q33" s="835"/>
      <c r="R33" s="2190"/>
      <c r="S33" s="2191"/>
      <c r="T33" s="2191"/>
      <c r="U33" s="2192"/>
    </row>
    <row r="34" spans="1:72" ht="27" customHeight="1" thickBot="1" x14ac:dyDescent="0.25">
      <c r="A34" s="1445" t="s">
        <v>5</v>
      </c>
      <c r="B34" s="2179"/>
      <c r="C34" s="2179"/>
      <c r="D34" s="2179"/>
      <c r="E34" s="784"/>
      <c r="F34" s="446" t="str">
        <f>IF(E34=0,"",E34/E$34)</f>
        <v/>
      </c>
      <c r="G34" s="818">
        <f>$E$34*G32</f>
        <v>0</v>
      </c>
      <c r="H34" s="808" t="str">
        <f>IF(G34=0,"",G34/G$34)</f>
        <v/>
      </c>
      <c r="I34" s="786">
        <f>$E$34*I32</f>
        <v>0</v>
      </c>
      <c r="J34" s="813" t="str">
        <f>IF(I34=0,"",I34/I$34)</f>
        <v/>
      </c>
      <c r="K34" s="796">
        <f>$E$34*K32</f>
        <v>0</v>
      </c>
      <c r="L34" s="813" t="str">
        <f>IF(K34=0,"",K34/K$34)</f>
        <v/>
      </c>
      <c r="M34" s="796">
        <f>$E$34*M32</f>
        <v>0</v>
      </c>
      <c r="N34" s="813" t="str">
        <f>IF(M34=0,"",M34/M$34)</f>
        <v/>
      </c>
      <c r="O34" s="796">
        <f>$E$34*O32</f>
        <v>0</v>
      </c>
      <c r="P34" s="827" t="str">
        <f>IF(O34=0,"",O34/O$34)</f>
        <v/>
      </c>
      <c r="Q34" s="454"/>
      <c r="R34" s="2190"/>
      <c r="S34" s="2191"/>
      <c r="T34" s="2191"/>
      <c r="U34" s="2192"/>
      <c r="V34" s="785">
        <f t="shared" ref="V34:V45" si="39">G34+I34+K34+M34+O34</f>
        <v>0</v>
      </c>
    </row>
    <row r="35" spans="1:72" s="4" customFormat="1" ht="27" customHeight="1" x14ac:dyDescent="0.2">
      <c r="A35" s="2162" t="s">
        <v>381</v>
      </c>
      <c r="B35" s="845" t="s">
        <v>357</v>
      </c>
      <c r="C35" s="839"/>
      <c r="D35" s="846"/>
      <c r="E35" s="116" t="e">
        <f>G35+I35+K35+M35+O35</f>
        <v>#DIV/0!</v>
      </c>
      <c r="F35" s="847" t="e">
        <f t="shared" ref="F35:F48" si="40">IF(E35=0,"",E35/E$34)</f>
        <v>#DIV/0!</v>
      </c>
      <c r="G35" s="848" t="e">
        <f>G34*H35</f>
        <v>#DIV/0!</v>
      </c>
      <c r="H35" s="872" t="e">
        <f>H10</f>
        <v>#DIV/0!</v>
      </c>
      <c r="I35" s="850" t="e">
        <f>I34*J35</f>
        <v>#DIV/0!</v>
      </c>
      <c r="J35" s="872" t="e">
        <f>J10</f>
        <v>#DIV/0!</v>
      </c>
      <c r="K35" s="850" t="e">
        <f>K34*L35</f>
        <v>#DIV/0!</v>
      </c>
      <c r="L35" s="872" t="e">
        <f>L10</f>
        <v>#DIV/0!</v>
      </c>
      <c r="M35" s="850" t="e">
        <f>M34*N35</f>
        <v>#DIV/0!</v>
      </c>
      <c r="N35" s="872" t="e">
        <f>N10</f>
        <v>#DIV/0!</v>
      </c>
      <c r="O35" s="850" t="e">
        <f>O34*P35</f>
        <v>#DIV/0!</v>
      </c>
      <c r="P35" s="873" t="e">
        <f>P10</f>
        <v>#DIV/0!</v>
      </c>
      <c r="Q35" s="870"/>
      <c r="R35" s="2190"/>
      <c r="S35" s="2191"/>
      <c r="T35" s="2191"/>
      <c r="U35" s="2192"/>
      <c r="V35" s="785" t="e">
        <f t="shared" si="39"/>
        <v>#DIV/0!</v>
      </c>
      <c r="X35" s="100"/>
      <c r="AV35" s="100"/>
      <c r="BT35" s="100"/>
    </row>
    <row r="36" spans="1:72" s="4" customFormat="1" ht="21" customHeight="1" x14ac:dyDescent="0.2">
      <c r="A36" s="2163"/>
      <c r="B36" s="2160" t="s">
        <v>359</v>
      </c>
      <c r="C36" s="840" t="s">
        <v>191</v>
      </c>
      <c r="D36" s="854"/>
      <c r="E36" s="278">
        <f>E11</f>
        <v>0</v>
      </c>
      <c r="F36" s="804" t="str">
        <f t="shared" si="40"/>
        <v/>
      </c>
      <c r="G36" s="820" t="e">
        <f>$E36*G33/$E33</f>
        <v>#DIV/0!</v>
      </c>
      <c r="H36" s="810" t="e">
        <f t="shared" ref="H36:J39" si="41">IF(G36=0,"",G36/G$34)</f>
        <v>#DIV/0!</v>
      </c>
      <c r="I36" s="855" t="e">
        <f>$E36*I33/$E33</f>
        <v>#DIV/0!</v>
      </c>
      <c r="J36" s="810" t="e">
        <f t="shared" si="41"/>
        <v>#DIV/0!</v>
      </c>
      <c r="K36" s="855" t="e">
        <f>$E36*K33/$E33</f>
        <v>#DIV/0!</v>
      </c>
      <c r="L36" s="810" t="e">
        <f>IF(K36=0,"",K36/K$34)</f>
        <v>#DIV/0!</v>
      </c>
      <c r="M36" s="855" t="e">
        <f>$E36*M33/$E33</f>
        <v>#DIV/0!</v>
      </c>
      <c r="N36" s="810" t="e">
        <f>IF(M36=0,"",M36/M$34)</f>
        <v>#DIV/0!</v>
      </c>
      <c r="O36" s="855" t="e">
        <f>$E36*O33/$E33</f>
        <v>#DIV/0!</v>
      </c>
      <c r="P36" s="821" t="e">
        <f>IF(O36=0,"",O36/O$34)</f>
        <v>#DIV/0!</v>
      </c>
      <c r="Q36" s="870"/>
      <c r="R36" s="2190"/>
      <c r="S36" s="2191"/>
      <c r="T36" s="2191"/>
      <c r="U36" s="2192"/>
      <c r="V36" s="785" t="e">
        <f t="shared" si="39"/>
        <v>#DIV/0!</v>
      </c>
      <c r="X36" s="100"/>
      <c r="AV36" s="100"/>
      <c r="BT36" s="100"/>
    </row>
    <row r="37" spans="1:72" s="4" customFormat="1" ht="21" customHeight="1" x14ac:dyDescent="0.2">
      <c r="A37" s="2163"/>
      <c r="B37" s="2161"/>
      <c r="C37" s="843" t="s">
        <v>301</v>
      </c>
      <c r="D37" s="856"/>
      <c r="E37" s="39">
        <f>E12</f>
        <v>0</v>
      </c>
      <c r="F37" s="805" t="str">
        <f t="shared" si="40"/>
        <v/>
      </c>
      <c r="G37" s="822">
        <f>$E37*G32</f>
        <v>0</v>
      </c>
      <c r="H37" s="811" t="str">
        <f t="shared" si="41"/>
        <v/>
      </c>
      <c r="I37" s="857">
        <f>$E37*I32</f>
        <v>0</v>
      </c>
      <c r="J37" s="811" t="str">
        <f t="shared" si="41"/>
        <v/>
      </c>
      <c r="K37" s="857">
        <f>$E37*K32</f>
        <v>0</v>
      </c>
      <c r="L37" s="811" t="str">
        <f>IF(K37=0,"",K37/K$34)</f>
        <v/>
      </c>
      <c r="M37" s="857">
        <f>$E37*M32</f>
        <v>0</v>
      </c>
      <c r="N37" s="811" t="str">
        <f>IF(M37=0,"",M37/M$34)</f>
        <v/>
      </c>
      <c r="O37" s="857">
        <f>$E37*O32</f>
        <v>0</v>
      </c>
      <c r="P37" s="823" t="str">
        <f>IF(O37=0,"",O37/O$34)</f>
        <v/>
      </c>
      <c r="Q37" s="870"/>
      <c r="R37" s="2193"/>
      <c r="S37" s="2194"/>
      <c r="T37" s="2194"/>
      <c r="U37" s="2195"/>
      <c r="V37" s="785">
        <f t="shared" si="39"/>
        <v>0</v>
      </c>
      <c r="X37" s="100"/>
      <c r="AV37" s="100"/>
      <c r="BT37" s="100"/>
    </row>
    <row r="38" spans="1:72" s="4" customFormat="1" ht="27" customHeight="1" x14ac:dyDescent="0.2">
      <c r="A38" s="2178" t="s">
        <v>184</v>
      </c>
      <c r="B38" s="2179"/>
      <c r="C38" s="2179"/>
      <c r="D38" s="2030"/>
      <c r="E38" s="337" t="e">
        <f>SUM(E35:E37)</f>
        <v>#DIV/0!</v>
      </c>
      <c r="F38" s="802" t="e">
        <f t="shared" si="40"/>
        <v>#DIV/0!</v>
      </c>
      <c r="G38" s="818" t="e">
        <f>SUM(G35:G37)</f>
        <v>#DIV/0!</v>
      </c>
      <c r="H38" s="808" t="e">
        <f t="shared" si="41"/>
        <v>#DIV/0!</v>
      </c>
      <c r="I38" s="787" t="e">
        <f>SUM(I35:I37)</f>
        <v>#DIV/0!</v>
      </c>
      <c r="J38" s="808" t="e">
        <f t="shared" si="41"/>
        <v>#DIV/0!</v>
      </c>
      <c r="K38" s="787" t="e">
        <f>SUM(K35:K37)</f>
        <v>#DIV/0!</v>
      </c>
      <c r="L38" s="808" t="e">
        <f>IF(K38=0,"",K38/K$34)</f>
        <v>#DIV/0!</v>
      </c>
      <c r="M38" s="787" t="e">
        <f>SUM(M35:M37)</f>
        <v>#DIV/0!</v>
      </c>
      <c r="N38" s="808" t="e">
        <f>IF(M38=0,"",M38/M$34)</f>
        <v>#DIV/0!</v>
      </c>
      <c r="O38" s="787" t="e">
        <f>SUM(O35:O37)</f>
        <v>#DIV/0!</v>
      </c>
      <c r="P38" s="788" t="e">
        <f>IF(O38=0,"",O38/O$34)</f>
        <v>#DIV/0!</v>
      </c>
      <c r="Q38" s="870"/>
      <c r="R38" s="871"/>
      <c r="S38" s="871"/>
      <c r="T38" s="871"/>
      <c r="U38" s="871"/>
      <c r="V38" s="785" t="e">
        <f t="shared" si="39"/>
        <v>#DIV/0!</v>
      </c>
      <c r="X38" s="100"/>
      <c r="AV38" s="100"/>
      <c r="BT38" s="100"/>
    </row>
    <row r="39" spans="1:72" ht="27" customHeight="1" x14ac:dyDescent="0.2">
      <c r="A39" s="2180" t="s">
        <v>44</v>
      </c>
      <c r="B39" s="2179"/>
      <c r="C39" s="2179"/>
      <c r="D39" s="2179"/>
      <c r="E39" s="337" t="e">
        <f>E34-E38</f>
        <v>#DIV/0!</v>
      </c>
      <c r="F39" s="802" t="e">
        <f t="shared" si="40"/>
        <v>#DIV/0!</v>
      </c>
      <c r="G39" s="818" t="e">
        <f>G34-G38</f>
        <v>#DIV/0!</v>
      </c>
      <c r="H39" s="808" t="e">
        <f t="shared" si="41"/>
        <v>#DIV/0!</v>
      </c>
      <c r="I39" s="786" t="e">
        <f>I34-I38</f>
        <v>#DIV/0!</v>
      </c>
      <c r="J39" s="808" t="e">
        <f t="shared" si="41"/>
        <v>#DIV/0!</v>
      </c>
      <c r="K39" s="786" t="e">
        <f>K34-K38</f>
        <v>#DIV/0!</v>
      </c>
      <c r="L39" s="808" t="e">
        <f>IF(K39=0,"",K39/K$34)</f>
        <v>#DIV/0!</v>
      </c>
      <c r="M39" s="786" t="e">
        <f>M34-M38</f>
        <v>#DIV/0!</v>
      </c>
      <c r="N39" s="808" t="e">
        <f>IF(M39=0,"",M39/M$34)</f>
        <v>#DIV/0!</v>
      </c>
      <c r="O39" s="786" t="e">
        <f>O34-O38</f>
        <v>#DIV/0!</v>
      </c>
      <c r="P39" s="788" t="e">
        <f>IF(O39=0,"",O39/O$34)</f>
        <v>#DIV/0!</v>
      </c>
      <c r="Q39" s="870"/>
      <c r="R39" s="871"/>
      <c r="S39" s="871"/>
      <c r="T39" s="871"/>
      <c r="U39" s="871"/>
      <c r="V39" s="785" t="e">
        <f t="shared" si="39"/>
        <v>#DIV/0!</v>
      </c>
    </row>
    <row r="40" spans="1:72" ht="27" customHeight="1" x14ac:dyDescent="0.2">
      <c r="A40" s="2184" t="s">
        <v>493</v>
      </c>
      <c r="B40" s="2169" t="s">
        <v>490</v>
      </c>
      <c r="C40" s="2170"/>
      <c r="D40" s="2171"/>
      <c r="E40" s="247">
        <f>G40+I40+K40+M40+O40</f>
        <v>0</v>
      </c>
      <c r="F40" s="938" t="str">
        <f t="shared" si="40"/>
        <v/>
      </c>
      <c r="G40" s="939">
        <f>IF(H40="",0,G34*H40)</f>
        <v>0</v>
      </c>
      <c r="H40" s="940" t="str">
        <f>H15</f>
        <v/>
      </c>
      <c r="I40" s="796">
        <f t="shared" ref="I40" si="42">IF(J40="",0,I34*J40)</f>
        <v>0</v>
      </c>
      <c r="J40" s="940" t="str">
        <f t="shared" ref="J40" si="43">J15</f>
        <v/>
      </c>
      <c r="K40" s="796">
        <f t="shared" ref="K40" si="44">IF(L40="",0,K34*L40)</f>
        <v>0</v>
      </c>
      <c r="L40" s="940" t="str">
        <f t="shared" ref="L40" si="45">L15</f>
        <v/>
      </c>
      <c r="M40" s="796">
        <f t="shared" ref="M40" si="46">IF(N40="",0,M34*N40)</f>
        <v>0</v>
      </c>
      <c r="N40" s="940" t="str">
        <f t="shared" ref="N40" si="47">N15</f>
        <v/>
      </c>
      <c r="O40" s="796">
        <f t="shared" ref="O40" si="48">IF(P40="",0,O34*P40)</f>
        <v>0</v>
      </c>
      <c r="P40" s="940" t="str">
        <f t="shared" ref="P40" si="49">P15</f>
        <v/>
      </c>
      <c r="Q40" s="870"/>
      <c r="R40" s="871"/>
      <c r="S40" s="871"/>
      <c r="T40" s="871"/>
      <c r="U40" s="871"/>
      <c r="V40" s="785"/>
    </row>
    <row r="41" spans="1:72" s="4" customFormat="1" ht="21" customHeight="1" x14ac:dyDescent="0.2">
      <c r="A41" s="1524"/>
      <c r="B41" s="2172" t="s">
        <v>359</v>
      </c>
      <c r="C41" s="2181" t="s">
        <v>458</v>
      </c>
      <c r="D41" s="2182"/>
      <c r="E41" s="116" t="e">
        <f>G41+I41+K41+M41+O41</f>
        <v>#DIV/0!</v>
      </c>
      <c r="F41" s="851" t="e">
        <f t="shared" si="40"/>
        <v>#DIV/0!</v>
      </c>
      <c r="G41" s="874" t="e">
        <f>$E16*G33/$E33</f>
        <v>#DIV/0!</v>
      </c>
      <c r="H41" s="849" t="e">
        <f t="shared" ref="H41:J48" si="50">IF(G41=0,"",G41/G$34)</f>
        <v>#DIV/0!</v>
      </c>
      <c r="I41" s="875" t="e">
        <f>$E16*I33/$E33</f>
        <v>#DIV/0!</v>
      </c>
      <c r="J41" s="849" t="e">
        <f t="shared" si="50"/>
        <v>#DIV/0!</v>
      </c>
      <c r="K41" s="875" t="e">
        <f>$E16*K33/$E33</f>
        <v>#DIV/0!</v>
      </c>
      <c r="L41" s="849" t="e">
        <f t="shared" ref="L41" si="51">IF(K41=0,"",K41/K$34)</f>
        <v>#DIV/0!</v>
      </c>
      <c r="M41" s="875" t="e">
        <f>$E16*M33/$E33</f>
        <v>#DIV/0!</v>
      </c>
      <c r="N41" s="849" t="e">
        <f t="shared" ref="N41" si="52">IF(M41=0,"",M41/M$34)</f>
        <v>#DIV/0!</v>
      </c>
      <c r="O41" s="875" t="e">
        <f>$E16*O33/$E33</f>
        <v>#DIV/0!</v>
      </c>
      <c r="P41" s="851" t="e">
        <f t="shared" ref="P41" si="53">IF(O41=0,"",O41/O$34)</f>
        <v>#DIV/0!</v>
      </c>
      <c r="Q41" s="870"/>
      <c r="R41" s="871"/>
      <c r="S41" s="871"/>
      <c r="T41" s="871"/>
      <c r="U41" s="871"/>
      <c r="V41" s="785" t="e">
        <f t="shared" si="39"/>
        <v>#DIV/0!</v>
      </c>
      <c r="X41" s="100"/>
      <c r="AV41" s="100"/>
      <c r="BT41" s="100"/>
    </row>
    <row r="42" spans="1:72" s="4" customFormat="1" ht="21" customHeight="1" x14ac:dyDescent="0.2">
      <c r="A42" s="1524"/>
      <c r="B42" s="2172"/>
      <c r="C42" s="2183" t="s">
        <v>443</v>
      </c>
      <c r="D42" s="2182"/>
      <c r="E42" s="125">
        <f>G42+I42+K42+M42+O42</f>
        <v>0</v>
      </c>
      <c r="F42" s="803" t="str">
        <f t="shared" si="40"/>
        <v/>
      </c>
      <c r="G42" s="828">
        <f>$E17*G$32</f>
        <v>0</v>
      </c>
      <c r="H42" s="809" t="str">
        <f t="shared" si="50"/>
        <v/>
      </c>
      <c r="I42" s="800">
        <f>$E17*I$32</f>
        <v>0</v>
      </c>
      <c r="J42" s="809" t="str">
        <f t="shared" si="50"/>
        <v/>
      </c>
      <c r="K42" s="800">
        <f>$E17*K$32</f>
        <v>0</v>
      </c>
      <c r="L42" s="809" t="str">
        <f t="shared" ref="L42" si="54">IF(K42=0,"",K42/K$34)</f>
        <v/>
      </c>
      <c r="M42" s="800">
        <f>$E17*M$32</f>
        <v>0</v>
      </c>
      <c r="N42" s="809" t="str">
        <f t="shared" ref="N42" si="55">IF(M42=0,"",M42/M$34)</f>
        <v/>
      </c>
      <c r="O42" s="800">
        <f>$E17*O$32</f>
        <v>0</v>
      </c>
      <c r="P42" s="819" t="str">
        <f t="shared" ref="P42" si="56">IF(O42=0,"",O42/O$34)</f>
        <v/>
      </c>
      <c r="Q42" s="870"/>
      <c r="R42"/>
      <c r="S42"/>
      <c r="T42" s="785"/>
      <c r="V42" s="785">
        <f t="shared" si="39"/>
        <v>0</v>
      </c>
      <c r="X42" s="100"/>
      <c r="AV42" s="100"/>
      <c r="BT42" s="100"/>
    </row>
    <row r="43" spans="1:72" s="4" customFormat="1" ht="21" customHeight="1" x14ac:dyDescent="0.2">
      <c r="A43" s="1524"/>
      <c r="B43" s="2173"/>
      <c r="C43" s="2164" t="s">
        <v>491</v>
      </c>
      <c r="D43" s="2165"/>
      <c r="E43" s="267">
        <f>G43+I43+K43+M43+O43</f>
        <v>0</v>
      </c>
      <c r="F43" s="805" t="str">
        <f t="shared" si="40"/>
        <v/>
      </c>
      <c r="G43" s="829">
        <f>$E18*G$32</f>
        <v>0</v>
      </c>
      <c r="H43" s="948" t="str">
        <f t="shared" si="50"/>
        <v/>
      </c>
      <c r="I43" s="801">
        <f>$E18*I$32</f>
        <v>0</v>
      </c>
      <c r="J43" s="811" t="str">
        <f t="shared" si="50"/>
        <v/>
      </c>
      <c r="K43" s="801">
        <f>$E18*K$32</f>
        <v>0</v>
      </c>
      <c r="L43" s="811" t="str">
        <f t="shared" ref="L43" si="57">IF(K43=0,"",K43/K$34)</f>
        <v/>
      </c>
      <c r="M43" s="801">
        <f>$E18*M$32</f>
        <v>0</v>
      </c>
      <c r="N43" s="811" t="str">
        <f t="shared" ref="N43" si="58">IF(M43=0,"",M43/M$34)</f>
        <v/>
      </c>
      <c r="O43" s="801">
        <f>$E18*O$32</f>
        <v>0</v>
      </c>
      <c r="P43" s="823" t="str">
        <f t="shared" ref="P43" si="59">IF(O43=0,"",O43/O$34)</f>
        <v/>
      </c>
      <c r="Q43" s="870"/>
      <c r="R43"/>
      <c r="S43"/>
      <c r="T43" s="785"/>
      <c r="V43" s="785">
        <f t="shared" si="39"/>
        <v>0</v>
      </c>
      <c r="X43" s="100"/>
      <c r="AV43" s="100"/>
      <c r="BT43" s="100"/>
    </row>
    <row r="44" spans="1:72" ht="21.75" customHeight="1" thickBot="1" x14ac:dyDescent="0.25">
      <c r="A44" s="1525"/>
      <c r="B44" s="936"/>
      <c r="C44" s="245"/>
      <c r="D44" s="792" t="s">
        <v>184</v>
      </c>
      <c r="E44" s="239" t="e">
        <f>SUM(E40:E43)</f>
        <v>#DIV/0!</v>
      </c>
      <c r="F44" s="806" t="e">
        <f t="shared" si="40"/>
        <v>#DIV/0!</v>
      </c>
      <c r="G44" s="858" t="e">
        <f t="shared" ref="G44" si="60">SUM(G40:G43)</f>
        <v>#DIV/0!</v>
      </c>
      <c r="H44" s="859" t="e">
        <f t="shared" si="50"/>
        <v>#DIV/0!</v>
      </c>
      <c r="I44" s="860" t="e">
        <f t="shared" ref="I44" si="61">SUM(I40:I43)</f>
        <v>#DIV/0!</v>
      </c>
      <c r="J44" s="859" t="e">
        <f t="shared" si="50"/>
        <v>#DIV/0!</v>
      </c>
      <c r="K44" s="860" t="e">
        <f t="shared" ref="K44" si="62">SUM(K40:K43)</f>
        <v>#DIV/0!</v>
      </c>
      <c r="L44" s="859" t="e">
        <f t="shared" ref="L44" si="63">IF(K44=0,"",K44/K$34)</f>
        <v>#DIV/0!</v>
      </c>
      <c r="M44" s="860" t="e">
        <f t="shared" ref="M44" si="64">SUM(M40:M43)</f>
        <v>#DIV/0!</v>
      </c>
      <c r="N44" s="859" t="e">
        <f t="shared" ref="N44" si="65">IF(M44=0,"",M44/M$34)</f>
        <v>#DIV/0!</v>
      </c>
      <c r="O44" s="860" t="e">
        <f t="shared" ref="O44" si="66">SUM(O40:O43)</f>
        <v>#DIV/0!</v>
      </c>
      <c r="P44" s="861" t="e">
        <f t="shared" ref="P44" si="67">IF(O44=0,"",O44/O$34)</f>
        <v>#DIV/0!</v>
      </c>
      <c r="Q44" s="870"/>
      <c r="R44"/>
      <c r="S44"/>
      <c r="T44" s="785"/>
      <c r="V44" s="785" t="e">
        <f t="shared" si="39"/>
        <v>#DIV/0!</v>
      </c>
    </row>
    <row r="45" spans="1:72" ht="21.75" customHeight="1" thickBot="1" x14ac:dyDescent="0.25">
      <c r="A45" s="1464" t="s">
        <v>49</v>
      </c>
      <c r="B45" s="1521"/>
      <c r="C45" s="1521"/>
      <c r="D45" s="1561"/>
      <c r="E45" s="166" t="e">
        <f>E39-E44</f>
        <v>#DIV/0!</v>
      </c>
      <c r="F45" s="807" t="e">
        <f t="shared" si="40"/>
        <v>#DIV/0!</v>
      </c>
      <c r="G45" s="624" t="e">
        <f>G39-G44</f>
        <v>#DIV/0!</v>
      </c>
      <c r="H45" s="812" t="e">
        <f t="shared" si="50"/>
        <v>#DIV/0!</v>
      </c>
      <c r="I45" s="166" t="e">
        <f>I39-I44</f>
        <v>#DIV/0!</v>
      </c>
      <c r="J45" s="812" t="e">
        <f t="shared" si="50"/>
        <v>#DIV/0!</v>
      </c>
      <c r="K45" s="166" t="e">
        <f>K39-K44</f>
        <v>#DIV/0!</v>
      </c>
      <c r="L45" s="812" t="e">
        <f t="shared" ref="L45" si="68">IF(K45=0,"",K45/K$34)</f>
        <v>#DIV/0!</v>
      </c>
      <c r="M45" s="166" t="e">
        <f>M39-M44</f>
        <v>#DIV/0!</v>
      </c>
      <c r="N45" s="812" t="e">
        <f t="shared" ref="N45" si="69">IF(M45=0,"",M45/M$34)</f>
        <v>#DIV/0!</v>
      </c>
      <c r="O45" s="166" t="e">
        <f>O39-O44</f>
        <v>#DIV/0!</v>
      </c>
      <c r="P45" s="814" t="e">
        <f t="shared" ref="P45" si="70">IF(O45=0,"",O45/O$34)</f>
        <v>#DIV/0!</v>
      </c>
      <c r="Q45" s="454"/>
      <c r="R45"/>
      <c r="S45" s="824"/>
      <c r="V45" s="785" t="e">
        <f t="shared" si="39"/>
        <v>#DIV/0!</v>
      </c>
    </row>
    <row r="46" spans="1:72" ht="21.75" customHeight="1" x14ac:dyDescent="0.2">
      <c r="A46" s="2152" t="s">
        <v>492</v>
      </c>
      <c r="B46" s="2154" t="s">
        <v>486</v>
      </c>
      <c r="C46" s="1610"/>
      <c r="D46" s="1610"/>
      <c r="E46" s="949">
        <f>E21</f>
        <v>0</v>
      </c>
      <c r="F46" s="809" t="str">
        <f t="shared" si="40"/>
        <v/>
      </c>
      <c r="G46" s="942">
        <f>$E46*G$32</f>
        <v>0</v>
      </c>
      <c r="H46" s="809" t="str">
        <f t="shared" si="50"/>
        <v/>
      </c>
      <c r="I46" s="942">
        <f t="shared" ref="I46:I47" si="71">$E46*I$32</f>
        <v>0</v>
      </c>
      <c r="J46" s="809" t="str">
        <f t="shared" si="50"/>
        <v/>
      </c>
      <c r="K46" s="942">
        <f t="shared" ref="K46:K47" si="72">$E46*K$32</f>
        <v>0</v>
      </c>
      <c r="L46" s="809" t="str">
        <f t="shared" ref="L46" si="73">IF(K46=0,"",K46/K$34)</f>
        <v/>
      </c>
      <c r="M46" s="942">
        <f t="shared" ref="M46:M47" si="74">$E46*M$32</f>
        <v>0</v>
      </c>
      <c r="N46" s="809" t="str">
        <f t="shared" ref="N46" si="75">IF(M46=0,"",M46/M$34)</f>
        <v/>
      </c>
      <c r="O46" s="942">
        <f t="shared" ref="O46:O47" si="76">$E46*O$32</f>
        <v>0</v>
      </c>
      <c r="P46" s="809" t="str">
        <f t="shared" ref="P46" si="77">IF(O46=0,"",O46/O$34)</f>
        <v/>
      </c>
      <c r="Q46" s="454"/>
      <c r="R46"/>
      <c r="S46" s="824"/>
      <c r="V46" s="785"/>
    </row>
    <row r="47" spans="1:72" ht="21.75" customHeight="1" thickBot="1" x14ac:dyDescent="0.25">
      <c r="A47" s="2153"/>
      <c r="B47" s="2155" t="s">
        <v>487</v>
      </c>
      <c r="C47" s="1608"/>
      <c r="D47" s="1608"/>
      <c r="E47" s="950">
        <f>E22</f>
        <v>0</v>
      </c>
      <c r="F47" s="943" t="str">
        <f t="shared" si="40"/>
        <v/>
      </c>
      <c r="G47" s="273">
        <f>$E47*G$32</f>
        <v>0</v>
      </c>
      <c r="H47" s="943" t="str">
        <f t="shared" si="50"/>
        <v/>
      </c>
      <c r="I47" s="273">
        <f t="shared" si="71"/>
        <v>0</v>
      </c>
      <c r="J47" s="943" t="str">
        <f t="shared" si="50"/>
        <v/>
      </c>
      <c r="K47" s="273">
        <f t="shared" si="72"/>
        <v>0</v>
      </c>
      <c r="L47" s="943" t="str">
        <f t="shared" ref="L47" si="78">IF(K47=0,"",K47/K$34)</f>
        <v/>
      </c>
      <c r="M47" s="273">
        <f t="shared" si="74"/>
        <v>0</v>
      </c>
      <c r="N47" s="943" t="str">
        <f t="shared" ref="N47" si="79">IF(M47=0,"",M47/M$34)</f>
        <v/>
      </c>
      <c r="O47" s="273">
        <f t="shared" si="76"/>
        <v>0</v>
      </c>
      <c r="P47" s="943" t="str">
        <f t="shared" ref="P47" si="80">IF(O47=0,"",O47/O$34)</f>
        <v/>
      </c>
      <c r="Q47" s="454"/>
      <c r="R47"/>
      <c r="S47" s="824"/>
      <c r="V47" s="785"/>
    </row>
    <row r="48" spans="1:72" ht="21.75" customHeight="1" thickBot="1" x14ac:dyDescent="0.25">
      <c r="A48" s="2156" t="s">
        <v>488</v>
      </c>
      <c r="B48" s="2157"/>
      <c r="C48" s="2157"/>
      <c r="D48" s="2157"/>
      <c r="E48" s="166" t="e">
        <f>E45+E46-E47</f>
        <v>#DIV/0!</v>
      </c>
      <c r="F48" s="812" t="e">
        <f t="shared" si="40"/>
        <v>#DIV/0!</v>
      </c>
      <c r="G48" s="166" t="e">
        <f t="shared" ref="G48" si="81">G45+G46-G47</f>
        <v>#DIV/0!</v>
      </c>
      <c r="H48" s="812" t="e">
        <f t="shared" si="50"/>
        <v>#DIV/0!</v>
      </c>
      <c r="I48" s="166" t="e">
        <f t="shared" ref="I48" si="82">I45+I46-I47</f>
        <v>#DIV/0!</v>
      </c>
      <c r="J48" s="812" t="e">
        <f t="shared" si="50"/>
        <v>#DIV/0!</v>
      </c>
      <c r="K48" s="166" t="e">
        <f t="shared" ref="K48" si="83">K45+K46-K47</f>
        <v>#DIV/0!</v>
      </c>
      <c r="L48" s="812" t="e">
        <f t="shared" ref="L48" si="84">IF(K48=0,"",K48/K$34)</f>
        <v>#DIV/0!</v>
      </c>
      <c r="M48" s="166" t="e">
        <f t="shared" ref="M48" si="85">M45+M46-M47</f>
        <v>#DIV/0!</v>
      </c>
      <c r="N48" s="812" t="e">
        <f t="shared" ref="N48" si="86">IF(M48=0,"",M48/M$34)</f>
        <v>#DIV/0!</v>
      </c>
      <c r="O48" s="166" t="e">
        <f t="shared" ref="O48" si="87">O45+O46-O47</f>
        <v>#DIV/0!</v>
      </c>
      <c r="P48" s="812" t="e">
        <f t="shared" ref="P48" si="88">IF(O48=0,"",O48/O$34)</f>
        <v>#DIV/0!</v>
      </c>
      <c r="Q48" s="454"/>
      <c r="R48"/>
      <c r="S48" s="824"/>
      <c r="V48" s="785"/>
    </row>
    <row r="49" spans="1:91" ht="13.5" customHeight="1" thickBot="1" x14ac:dyDescent="0.25"/>
    <row r="50" spans="1:91" s="104" customFormat="1" ht="21" customHeight="1" x14ac:dyDescent="0.2">
      <c r="A50" s="2158" t="s">
        <v>461</v>
      </c>
      <c r="B50" s="1555" t="s">
        <v>459</v>
      </c>
      <c r="C50" s="1556"/>
      <c r="D50" s="1556"/>
      <c r="E50" s="191" t="e">
        <f>(E36+E37+E41+E42+E43+E47-E46)/F51</f>
        <v>#DIV/0!</v>
      </c>
      <c r="F50" s="847" t="e">
        <f>IF(E50=0,"",E50/E$34)</f>
        <v>#DIV/0!</v>
      </c>
      <c r="G50" s="862" t="e">
        <f t="shared" ref="G50" si="89">(G36+G37+G41+G42+G43+G47-G46)/H51</f>
        <v>#DIV/0!</v>
      </c>
      <c r="H50" s="863" t="e">
        <f t="shared" ref="H50" si="90">IF(G50=0,"",G50/G$34)</f>
        <v>#DIV/0!</v>
      </c>
      <c r="I50" s="864" t="e">
        <f t="shared" ref="I50" si="91">(I36+I37+I41+I42+I43+I47-I46)/J51</f>
        <v>#DIV/0!</v>
      </c>
      <c r="J50" s="863" t="e">
        <f t="shared" ref="J50" si="92">IF(I50=0,"",I50/I$34)</f>
        <v>#DIV/0!</v>
      </c>
      <c r="K50" s="864" t="e">
        <f t="shared" ref="K50" si="93">(K36+K37+K41+K42+K43+K47-K46)/L51</f>
        <v>#DIV/0!</v>
      </c>
      <c r="L50" s="863" t="e">
        <f t="shared" ref="L50" si="94">IF(K50=0,"",K50/K$34)</f>
        <v>#DIV/0!</v>
      </c>
      <c r="M50" s="864" t="e">
        <f t="shared" ref="M50" si="95">(M36+M37+M41+M42+M43+M47-M46)/N51</f>
        <v>#DIV/0!</v>
      </c>
      <c r="N50" s="863" t="e">
        <f t="shared" ref="N50" si="96">IF(M50=0,"",M50/M$34)</f>
        <v>#DIV/0!</v>
      </c>
      <c r="O50" s="864" t="e">
        <f t="shared" ref="O50" si="97">(O36+O37+O41+O42+O43+O47-O46)/P51</f>
        <v>#DIV/0!</v>
      </c>
      <c r="P50" s="865" t="e">
        <f t="shared" ref="P50:P51" si="98">IF(O50=0,"",O50/O$34)</f>
        <v>#DIV/0!</v>
      </c>
      <c r="Q50" s="357"/>
      <c r="R50" s="785"/>
      <c r="S50" s="357"/>
      <c r="T50" s="4"/>
      <c r="U50" s="4"/>
      <c r="V50" s="4"/>
      <c r="W50" s="4"/>
      <c r="X50" s="100"/>
      <c r="Y50" s="4"/>
      <c r="Z50" s="4"/>
      <c r="AA50" s="4"/>
      <c r="AB50" s="4"/>
      <c r="AC50" s="4"/>
      <c r="AD50" s="4"/>
      <c r="AE50" s="4"/>
      <c r="AF50" s="4"/>
      <c r="AG50" s="4"/>
      <c r="AH50" s="4"/>
      <c r="AI50" s="4"/>
      <c r="AJ50" s="4"/>
      <c r="AK50" s="4"/>
      <c r="AL50" s="4"/>
      <c r="AM50" s="4"/>
      <c r="AN50" s="4"/>
      <c r="AO50" s="4"/>
      <c r="AP50" s="4"/>
      <c r="AQ50" s="4"/>
      <c r="AR50" s="4"/>
      <c r="AS50" s="4"/>
      <c r="AT50" s="4"/>
      <c r="AU50" s="4"/>
      <c r="AV50" s="100"/>
      <c r="AW50" s="4"/>
      <c r="AX50" s="4"/>
      <c r="AY50" s="4"/>
      <c r="AZ50" s="4"/>
      <c r="BA50" s="4"/>
      <c r="BB50" s="4"/>
      <c r="BC50" s="4"/>
      <c r="BD50" s="4"/>
      <c r="BE50" s="4"/>
      <c r="BF50" s="4"/>
      <c r="BG50" s="4"/>
      <c r="BH50" s="4"/>
      <c r="BI50" s="4"/>
      <c r="BJ50" s="4"/>
      <c r="BK50" s="4"/>
      <c r="BL50" s="4"/>
      <c r="BM50" s="4"/>
      <c r="BN50" s="4"/>
      <c r="BO50" s="4"/>
      <c r="BP50" s="4"/>
      <c r="BQ50" s="4"/>
      <c r="BR50" s="4"/>
      <c r="BS50" s="4"/>
      <c r="BT50" s="100"/>
      <c r="BU50" s="4"/>
      <c r="BV50" s="4"/>
      <c r="BW50" s="4"/>
      <c r="BX50" s="4"/>
      <c r="BY50" s="4"/>
      <c r="BZ50" s="4"/>
      <c r="CA50" s="4"/>
      <c r="CB50" s="4"/>
      <c r="CC50" s="4"/>
      <c r="CD50" s="4"/>
      <c r="CE50" s="4"/>
      <c r="CF50" s="4"/>
      <c r="CG50" s="4"/>
      <c r="CH50" s="4"/>
      <c r="CI50" s="4"/>
      <c r="CJ50" s="4"/>
      <c r="CK50" s="4"/>
      <c r="CL50" s="4"/>
      <c r="CM50" s="4"/>
    </row>
    <row r="51" spans="1:91" s="104" customFormat="1" ht="21" customHeight="1" thickBot="1" x14ac:dyDescent="0.25">
      <c r="A51" s="2159"/>
      <c r="B51" s="1473" t="s">
        <v>460</v>
      </c>
      <c r="C51" s="1519"/>
      <c r="D51" s="1519"/>
      <c r="E51" s="194" t="e">
        <f>E34-E35-E40</f>
        <v>#DIV/0!</v>
      </c>
      <c r="F51" s="805" t="e">
        <f>IF(E51=0,"",E51/E$34)</f>
        <v>#DIV/0!</v>
      </c>
      <c r="G51" s="866" t="e">
        <f t="shared" ref="G51" si="99">G34-G35-G40</f>
        <v>#DIV/0!</v>
      </c>
      <c r="H51" s="867" t="e">
        <f t="shared" ref="H51" si="100">IF(G51=0,"",G51/G$34)</f>
        <v>#DIV/0!</v>
      </c>
      <c r="I51" s="868" t="e">
        <f t="shared" ref="I51" si="101">I34-I35-I40</f>
        <v>#DIV/0!</v>
      </c>
      <c r="J51" s="867" t="e">
        <f t="shared" ref="J51" si="102">IF(I51=0,"",I51/I$34)</f>
        <v>#DIV/0!</v>
      </c>
      <c r="K51" s="868" t="e">
        <f t="shared" ref="K51" si="103">K34-K35-K40</f>
        <v>#DIV/0!</v>
      </c>
      <c r="L51" s="867" t="e">
        <f t="shared" ref="L51" si="104">IF(K51=0,"",K51/K$34)</f>
        <v>#DIV/0!</v>
      </c>
      <c r="M51" s="868" t="e">
        <f t="shared" ref="M51" si="105">M34-M35-M40</f>
        <v>#DIV/0!</v>
      </c>
      <c r="N51" s="867" t="e">
        <f t="shared" ref="N51" si="106">IF(M51=0,"",M51/M$34)</f>
        <v>#DIV/0!</v>
      </c>
      <c r="O51" s="868" t="e">
        <f t="shared" ref="O51" si="107">O34-O35-O40</f>
        <v>#DIV/0!</v>
      </c>
      <c r="P51" s="869" t="e">
        <f t="shared" si="98"/>
        <v>#DIV/0!</v>
      </c>
      <c r="Q51" s="357"/>
      <c r="R51" s="785"/>
      <c r="S51" s="357"/>
      <c r="T51" s="4"/>
      <c r="U51" s="4"/>
      <c r="V51" s="4"/>
      <c r="W51" s="4"/>
      <c r="X51" s="100"/>
      <c r="Y51" s="4"/>
      <c r="Z51" s="4"/>
      <c r="AA51" s="4"/>
      <c r="AB51" s="4"/>
      <c r="AC51" s="4"/>
      <c r="AD51" s="4"/>
      <c r="AE51" s="4"/>
      <c r="AF51" s="4"/>
      <c r="AG51" s="4"/>
      <c r="AH51" s="4"/>
      <c r="AI51" s="4"/>
      <c r="AJ51" s="4"/>
      <c r="AK51" s="4"/>
      <c r="AL51" s="4"/>
      <c r="AM51" s="4"/>
      <c r="AN51" s="4"/>
      <c r="AO51" s="4"/>
      <c r="AP51" s="4"/>
      <c r="AQ51" s="4"/>
      <c r="AR51" s="4"/>
      <c r="AS51" s="4"/>
      <c r="AT51" s="4"/>
      <c r="AU51" s="4"/>
      <c r="AV51" s="100"/>
      <c r="AW51" s="4"/>
      <c r="AX51" s="4"/>
      <c r="AY51" s="4"/>
      <c r="AZ51" s="4"/>
      <c r="BA51" s="4"/>
      <c r="BB51" s="4"/>
      <c r="BC51" s="4"/>
      <c r="BD51" s="4"/>
      <c r="BE51" s="4"/>
      <c r="BF51" s="4"/>
      <c r="BG51" s="4"/>
      <c r="BH51" s="4"/>
      <c r="BI51" s="4"/>
      <c r="BJ51" s="4"/>
      <c r="BK51" s="4"/>
      <c r="BL51" s="4"/>
      <c r="BM51" s="4"/>
      <c r="BN51" s="4"/>
      <c r="BO51" s="4"/>
      <c r="BP51" s="4"/>
      <c r="BQ51" s="4"/>
      <c r="BR51" s="4"/>
      <c r="BS51" s="4"/>
      <c r="BT51" s="100"/>
      <c r="BU51" s="4"/>
      <c r="BV51" s="4"/>
      <c r="BW51" s="4"/>
      <c r="BX51" s="4"/>
      <c r="BY51" s="4"/>
      <c r="BZ51" s="4"/>
      <c r="CA51" s="4"/>
      <c r="CB51" s="4"/>
      <c r="CC51" s="4"/>
      <c r="CD51" s="4"/>
      <c r="CE51" s="4"/>
      <c r="CF51" s="4"/>
      <c r="CG51" s="4"/>
      <c r="CH51" s="4"/>
      <c r="CI51" s="4"/>
      <c r="CJ51" s="4"/>
      <c r="CK51" s="4"/>
      <c r="CL51" s="4"/>
      <c r="CM51" s="4"/>
    </row>
    <row r="52" spans="1:91" ht="31.5" customHeight="1" x14ac:dyDescent="0.2">
      <c r="B52" s="2151" t="s">
        <v>464</v>
      </c>
      <c r="C52" s="1970"/>
      <c r="D52" s="1970"/>
      <c r="E52" s="100" t="e">
        <f>(E36+E41)/E33</f>
        <v>#DIV/0!</v>
      </c>
    </row>
    <row r="53" spans="1:91" ht="13.5" customHeight="1" x14ac:dyDescent="0.2">
      <c r="B53" s="876"/>
      <c r="C53" s="57"/>
      <c r="D53" s="57"/>
    </row>
    <row r="54" spans="1:91" ht="32.25" customHeight="1" thickBot="1" x14ac:dyDescent="0.25">
      <c r="A54" s="2187" t="s">
        <v>455</v>
      </c>
      <c r="B54" s="1523"/>
      <c r="C54" s="1523"/>
      <c r="D54" s="1523"/>
      <c r="E54"/>
      <c r="F54"/>
      <c r="G54"/>
      <c r="H54"/>
      <c r="I54"/>
      <c r="J54"/>
      <c r="K54"/>
      <c r="L54"/>
      <c r="M54"/>
      <c r="N54"/>
      <c r="O54"/>
      <c r="P54"/>
      <c r="Q54"/>
      <c r="R54" s="2196"/>
      <c r="S54" s="1523"/>
    </row>
    <row r="55" spans="1:91" ht="40.5" customHeight="1" x14ac:dyDescent="0.2">
      <c r="A55" s="1467"/>
      <c r="B55" s="1506"/>
      <c r="C55" s="1506"/>
      <c r="D55" s="1506"/>
      <c r="E55" s="793" t="s">
        <v>453</v>
      </c>
      <c r="F55" s="2197" t="s">
        <v>367</v>
      </c>
      <c r="G55" s="825">
        <f>G6</f>
        <v>0</v>
      </c>
      <c r="H55" s="2174" t="s">
        <v>367</v>
      </c>
      <c r="I55" s="826">
        <f>I6</f>
        <v>0</v>
      </c>
      <c r="J55" s="2174" t="s">
        <v>367</v>
      </c>
      <c r="K55" s="826">
        <f>K6</f>
        <v>0</v>
      </c>
      <c r="L55" s="2174" t="s">
        <v>367</v>
      </c>
      <c r="M55" s="826">
        <f>M6</f>
        <v>0</v>
      </c>
      <c r="N55" s="2174" t="s">
        <v>367</v>
      </c>
      <c r="O55" s="826">
        <f>O6</f>
        <v>0</v>
      </c>
      <c r="P55" s="2176" t="s">
        <v>367</v>
      </c>
      <c r="Q55" s="837"/>
      <c r="R55" s="1885" t="s">
        <v>277</v>
      </c>
      <c r="S55" s="2188"/>
      <c r="T55" s="2188"/>
      <c r="U55" s="2189"/>
    </row>
    <row r="56" spans="1:91" ht="21.75" customHeight="1" x14ac:dyDescent="0.2">
      <c r="A56" s="1559"/>
      <c r="B56" s="1560"/>
      <c r="C56" s="1560"/>
      <c r="D56" s="1560"/>
      <c r="E56" s="794">
        <f>G56+I56+K56+M56+O56</f>
        <v>0</v>
      </c>
      <c r="F56" s="2186"/>
      <c r="G56" s="816"/>
      <c r="H56" s="2175"/>
      <c r="I56" s="798"/>
      <c r="J56" s="2175"/>
      <c r="K56" s="798"/>
      <c r="L56" s="2175"/>
      <c r="M56" s="798"/>
      <c r="N56" s="2175"/>
      <c r="O56" s="798"/>
      <c r="P56" s="2177"/>
      <c r="Q56" s="835"/>
      <c r="R56" s="2190"/>
      <c r="S56" s="2191"/>
      <c r="T56" s="2191"/>
      <c r="U56" s="2192"/>
    </row>
    <row r="57" spans="1:91" ht="21.75" customHeight="1" thickBot="1" x14ac:dyDescent="0.25">
      <c r="A57" s="841"/>
      <c r="B57" s="842"/>
      <c r="C57" s="842"/>
      <c r="D57" s="842"/>
      <c r="E57" s="795">
        <f>G57+I57+K57+M57+O57</f>
        <v>0</v>
      </c>
      <c r="F57" s="2186"/>
      <c r="G57" s="817"/>
      <c r="H57" s="2175"/>
      <c r="I57" s="799"/>
      <c r="J57" s="2175"/>
      <c r="K57" s="799"/>
      <c r="L57" s="2175"/>
      <c r="M57" s="799"/>
      <c r="N57" s="2175"/>
      <c r="O57" s="799"/>
      <c r="P57" s="2177"/>
      <c r="Q57" s="835"/>
      <c r="R57" s="2190"/>
      <c r="S57" s="2191"/>
      <c r="T57" s="2191"/>
      <c r="U57" s="2192"/>
    </row>
    <row r="58" spans="1:91" ht="27" customHeight="1" thickBot="1" x14ac:dyDescent="0.25">
      <c r="A58" s="1445" t="s">
        <v>5</v>
      </c>
      <c r="B58" s="2179"/>
      <c r="C58" s="2179"/>
      <c r="D58" s="2179"/>
      <c r="E58" s="784"/>
      <c r="F58" s="446" t="str">
        <f t="shared" ref="F58:F65" si="108">IF(E58=0,"",E58/E$58)</f>
        <v/>
      </c>
      <c r="G58" s="818">
        <f>$E$58*G56</f>
        <v>0</v>
      </c>
      <c r="H58" s="808" t="str">
        <f>IF(G58=0,"",G58/G$58)</f>
        <v/>
      </c>
      <c r="I58" s="786">
        <f>$E$58*I56</f>
        <v>0</v>
      </c>
      <c r="J58" s="813" t="str">
        <f>IF(I58=0,"",I58/I$58)</f>
        <v/>
      </c>
      <c r="K58" s="796">
        <f>$E$58*K56</f>
        <v>0</v>
      </c>
      <c r="L58" s="813" t="str">
        <f>IF(K58=0,"",K58/K$58)</f>
        <v/>
      </c>
      <c r="M58" s="796">
        <f>$E$58*M56</f>
        <v>0</v>
      </c>
      <c r="N58" s="813" t="str">
        <f>IF(M58=0,"",M58/M$58)</f>
        <v/>
      </c>
      <c r="O58" s="796">
        <f>$E$58*O56</f>
        <v>0</v>
      </c>
      <c r="P58" s="827" t="str">
        <f>IF(O58=0,"",O58/O$58)</f>
        <v/>
      </c>
      <c r="Q58" s="454"/>
      <c r="R58" s="2190"/>
      <c r="S58" s="2191"/>
      <c r="T58" s="2191"/>
      <c r="U58" s="2192"/>
      <c r="V58" s="785">
        <f t="shared" ref="V58:V63" si="109">G58+I58+K58+M58+O58</f>
        <v>0</v>
      </c>
    </row>
    <row r="59" spans="1:91" s="4" customFormat="1" ht="27" customHeight="1" x14ac:dyDescent="0.2">
      <c r="A59" s="2162" t="s">
        <v>381</v>
      </c>
      <c r="B59" s="845" t="s">
        <v>357</v>
      </c>
      <c r="C59" s="839"/>
      <c r="D59" s="846"/>
      <c r="E59" s="116" t="e">
        <f>G59+I59+K59+M59+O59</f>
        <v>#DIV/0!</v>
      </c>
      <c r="F59" s="847" t="e">
        <f t="shared" si="108"/>
        <v>#DIV/0!</v>
      </c>
      <c r="G59" s="848" t="e">
        <f>G58*H59</f>
        <v>#DIV/0!</v>
      </c>
      <c r="H59" s="872" t="e">
        <f>H10</f>
        <v>#DIV/0!</v>
      </c>
      <c r="I59" s="850" t="e">
        <f>I58*J59</f>
        <v>#DIV/0!</v>
      </c>
      <c r="J59" s="872" t="e">
        <f>J10</f>
        <v>#DIV/0!</v>
      </c>
      <c r="K59" s="850" t="e">
        <f>K58*L59</f>
        <v>#DIV/0!</v>
      </c>
      <c r="L59" s="872" t="e">
        <f>L10</f>
        <v>#DIV/0!</v>
      </c>
      <c r="M59" s="850" t="e">
        <f>M58*N59</f>
        <v>#DIV/0!</v>
      </c>
      <c r="N59" s="872" t="e">
        <f>N10</f>
        <v>#DIV/0!</v>
      </c>
      <c r="O59" s="850" t="e">
        <f>O58*P59</f>
        <v>#DIV/0!</v>
      </c>
      <c r="P59" s="873" t="e">
        <f>P10</f>
        <v>#DIV/0!</v>
      </c>
      <c r="Q59" s="870"/>
      <c r="R59" s="2190"/>
      <c r="S59" s="2191"/>
      <c r="T59" s="2191"/>
      <c r="U59" s="2192"/>
      <c r="V59" s="785" t="e">
        <f t="shared" si="109"/>
        <v>#DIV/0!</v>
      </c>
      <c r="X59" s="100"/>
      <c r="AV59" s="100"/>
      <c r="BT59" s="100"/>
    </row>
    <row r="60" spans="1:91" s="4" customFormat="1" ht="21" customHeight="1" x14ac:dyDescent="0.2">
      <c r="A60" s="2163"/>
      <c r="B60" s="2160" t="s">
        <v>359</v>
      </c>
      <c r="C60" s="840" t="s">
        <v>191</v>
      </c>
      <c r="D60" s="854"/>
      <c r="E60" s="278">
        <f>E11</f>
        <v>0</v>
      </c>
      <c r="F60" s="804" t="str">
        <f t="shared" si="108"/>
        <v/>
      </c>
      <c r="G60" s="820" t="e">
        <f>$E60*G57/$E57</f>
        <v>#DIV/0!</v>
      </c>
      <c r="H60" s="810" t="e">
        <f>IF(G60=0,"",G60/G$58)</f>
        <v>#DIV/0!</v>
      </c>
      <c r="I60" s="855" t="e">
        <f>$E60*I57/$E57</f>
        <v>#DIV/0!</v>
      </c>
      <c r="J60" s="810" t="e">
        <f>IF(I60=0,"",I60/I$58)</f>
        <v>#DIV/0!</v>
      </c>
      <c r="K60" s="855" t="e">
        <f>$E60*K57/$E57</f>
        <v>#DIV/0!</v>
      </c>
      <c r="L60" s="810" t="e">
        <f>IF(K60=0,"",K60/K$58)</f>
        <v>#DIV/0!</v>
      </c>
      <c r="M60" s="855" t="e">
        <f>$E60*M57/$E57</f>
        <v>#DIV/0!</v>
      </c>
      <c r="N60" s="810" t="e">
        <f>IF(M60=0,"",M60/M$58)</f>
        <v>#DIV/0!</v>
      </c>
      <c r="O60" s="855" t="e">
        <f>$E60*O57/$E57</f>
        <v>#DIV/0!</v>
      </c>
      <c r="P60" s="821" t="e">
        <f>IF(O60=0,"",O60/O$58)</f>
        <v>#DIV/0!</v>
      </c>
      <c r="Q60" s="870"/>
      <c r="R60" s="2190"/>
      <c r="S60" s="2191"/>
      <c r="T60" s="2191"/>
      <c r="U60" s="2192"/>
      <c r="V60" s="785" t="e">
        <f t="shared" si="109"/>
        <v>#DIV/0!</v>
      </c>
      <c r="X60" s="100"/>
      <c r="AV60" s="100"/>
      <c r="BT60" s="100"/>
    </row>
    <row r="61" spans="1:91" s="4" customFormat="1" ht="21" customHeight="1" x14ac:dyDescent="0.2">
      <c r="A61" s="2163"/>
      <c r="B61" s="2161"/>
      <c r="C61" s="843" t="s">
        <v>301</v>
      </c>
      <c r="D61" s="856"/>
      <c r="E61" s="39">
        <f>E12</f>
        <v>0</v>
      </c>
      <c r="F61" s="805" t="str">
        <f t="shared" si="108"/>
        <v/>
      </c>
      <c r="G61" s="822">
        <f>$E61*G56</f>
        <v>0</v>
      </c>
      <c r="H61" s="811" t="str">
        <f>IF(G61=0,"",G61/G$58)</f>
        <v/>
      </c>
      <c r="I61" s="857">
        <f>$E61*I56</f>
        <v>0</v>
      </c>
      <c r="J61" s="811" t="str">
        <f>IF(I61=0,"",I61/I$58)</f>
        <v/>
      </c>
      <c r="K61" s="857">
        <f>$E61*K56</f>
        <v>0</v>
      </c>
      <c r="L61" s="811" t="str">
        <f>IF(K61=0,"",K61/K$58)</f>
        <v/>
      </c>
      <c r="M61" s="857">
        <f>$E61*M56</f>
        <v>0</v>
      </c>
      <c r="N61" s="811" t="str">
        <f>IF(M61=0,"",M61/M$58)</f>
        <v/>
      </c>
      <c r="O61" s="857">
        <f>$E61*O56</f>
        <v>0</v>
      </c>
      <c r="P61" s="823" t="str">
        <f>IF(O61=0,"",O61/O$58)</f>
        <v/>
      </c>
      <c r="Q61" s="870"/>
      <c r="R61" s="2193"/>
      <c r="S61" s="2194"/>
      <c r="T61" s="2194"/>
      <c r="U61" s="2195"/>
      <c r="V61" s="785">
        <f t="shared" si="109"/>
        <v>0</v>
      </c>
      <c r="X61" s="100"/>
      <c r="AV61" s="100"/>
      <c r="BT61" s="100"/>
    </row>
    <row r="62" spans="1:91" s="4" customFormat="1" ht="27" customHeight="1" x14ac:dyDescent="0.2">
      <c r="A62" s="2178" t="s">
        <v>184</v>
      </c>
      <c r="B62" s="2179"/>
      <c r="C62" s="2179"/>
      <c r="D62" s="2030"/>
      <c r="E62" s="337" t="e">
        <f>SUM(E59:E61)</f>
        <v>#DIV/0!</v>
      </c>
      <c r="F62" s="802" t="e">
        <f t="shared" si="108"/>
        <v>#DIV/0!</v>
      </c>
      <c r="G62" s="818" t="e">
        <f>SUM(G59:G61)</f>
        <v>#DIV/0!</v>
      </c>
      <c r="H62" s="808" t="e">
        <f>IF(G62=0,"",G62/G$58)</f>
        <v>#DIV/0!</v>
      </c>
      <c r="I62" s="787" t="e">
        <f>SUM(I59:I61)</f>
        <v>#DIV/0!</v>
      </c>
      <c r="J62" s="808" t="e">
        <f>IF(I62=0,"",I62/I$58)</f>
        <v>#DIV/0!</v>
      </c>
      <c r="K62" s="787" t="e">
        <f>SUM(K59:K61)</f>
        <v>#DIV/0!</v>
      </c>
      <c r="L62" s="808" t="e">
        <f>IF(K62=0,"",K62/K$58)</f>
        <v>#DIV/0!</v>
      </c>
      <c r="M62" s="787" t="e">
        <f>SUM(M59:M61)</f>
        <v>#DIV/0!</v>
      </c>
      <c r="N62" s="808" t="e">
        <f>IF(M62=0,"",M62/M$58)</f>
        <v>#DIV/0!</v>
      </c>
      <c r="O62" s="787" t="e">
        <f>SUM(O59:O61)</f>
        <v>#DIV/0!</v>
      </c>
      <c r="P62" s="788" t="e">
        <f>IF(O62=0,"",O62/O$58)</f>
        <v>#DIV/0!</v>
      </c>
      <c r="Q62" s="870"/>
      <c r="R62" s="871"/>
      <c r="S62" s="871"/>
      <c r="T62" s="871"/>
      <c r="U62" s="871"/>
      <c r="V62" s="785" t="e">
        <f t="shared" si="109"/>
        <v>#DIV/0!</v>
      </c>
      <c r="X62" s="100"/>
      <c r="AV62" s="100"/>
      <c r="BT62" s="100"/>
    </row>
    <row r="63" spans="1:91" ht="27" customHeight="1" x14ac:dyDescent="0.2">
      <c r="A63" s="2180" t="s">
        <v>44</v>
      </c>
      <c r="B63" s="2179"/>
      <c r="C63" s="2179"/>
      <c r="D63" s="2179"/>
      <c r="E63" s="337" t="e">
        <f>E58-E62</f>
        <v>#DIV/0!</v>
      </c>
      <c r="F63" s="802" t="e">
        <f t="shared" si="108"/>
        <v>#DIV/0!</v>
      </c>
      <c r="G63" s="818" t="e">
        <f>G58-G62</f>
        <v>#DIV/0!</v>
      </c>
      <c r="H63" s="808" t="e">
        <f>IF(G63=0,"",G63/G$58)</f>
        <v>#DIV/0!</v>
      </c>
      <c r="I63" s="786" t="e">
        <f>I58-I62</f>
        <v>#DIV/0!</v>
      </c>
      <c r="J63" s="808" t="e">
        <f>IF(I63=0,"",I63/I$58)</f>
        <v>#DIV/0!</v>
      </c>
      <c r="K63" s="786" t="e">
        <f>K58-K62</f>
        <v>#DIV/0!</v>
      </c>
      <c r="L63" s="808" t="e">
        <f>IF(K63=0,"",K63/K$58)</f>
        <v>#DIV/0!</v>
      </c>
      <c r="M63" s="786" t="e">
        <f>M58-M62</f>
        <v>#DIV/0!</v>
      </c>
      <c r="N63" s="808" t="e">
        <f>IF(M63=0,"",M63/M$58)</f>
        <v>#DIV/0!</v>
      </c>
      <c r="O63" s="786" t="e">
        <f>O58-O62</f>
        <v>#DIV/0!</v>
      </c>
      <c r="P63" s="788" t="e">
        <f>IF(O63=0,"",O63/O$58)</f>
        <v>#DIV/0!</v>
      </c>
      <c r="Q63" s="870"/>
      <c r="R63" s="871"/>
      <c r="S63" s="871"/>
      <c r="T63" s="871"/>
      <c r="U63" s="871"/>
      <c r="V63" s="785" t="e">
        <f t="shared" si="109"/>
        <v>#DIV/0!</v>
      </c>
    </row>
    <row r="64" spans="1:91" ht="27" customHeight="1" x14ac:dyDescent="0.2">
      <c r="A64" s="2184" t="s">
        <v>493</v>
      </c>
      <c r="B64" s="2169" t="s">
        <v>490</v>
      </c>
      <c r="C64" s="2170"/>
      <c r="D64" s="2171"/>
      <c r="E64" s="247">
        <f>G64+I64+K64+M64+O64</f>
        <v>0</v>
      </c>
      <c r="F64" s="938" t="str">
        <f t="shared" si="108"/>
        <v/>
      </c>
      <c r="G64" s="939">
        <f>IF(H64="",0,G58*H64)</f>
        <v>0</v>
      </c>
      <c r="H64" s="940" t="str">
        <f>H15</f>
        <v/>
      </c>
      <c r="I64" s="796">
        <f t="shared" ref="I64" si="110">IF(J64="",0,I58*J64)</f>
        <v>0</v>
      </c>
      <c r="J64" s="940" t="str">
        <f>J15</f>
        <v/>
      </c>
      <c r="K64" s="796">
        <f t="shared" ref="K64" si="111">IF(L64="",0,K58*L64)</f>
        <v>0</v>
      </c>
      <c r="L64" s="940" t="str">
        <f>L15</f>
        <v/>
      </c>
      <c r="M64" s="796">
        <f t="shared" ref="M64" si="112">IF(N64="",0,M58*N64)</f>
        <v>0</v>
      </c>
      <c r="N64" s="940" t="str">
        <f>N15</f>
        <v/>
      </c>
      <c r="O64" s="796">
        <f t="shared" ref="O64" si="113">IF(P64="",0,O58*P64)</f>
        <v>0</v>
      </c>
      <c r="P64" s="940" t="str">
        <f>P15</f>
        <v/>
      </c>
      <c r="Q64" s="870"/>
      <c r="R64" s="871"/>
      <c r="S64" s="871"/>
      <c r="T64" s="871"/>
      <c r="U64" s="871"/>
      <c r="V64" s="785"/>
    </row>
    <row r="65" spans="1:91" s="4" customFormat="1" ht="21" customHeight="1" x14ac:dyDescent="0.2">
      <c r="A65" s="1524"/>
      <c r="B65" s="2172" t="s">
        <v>359</v>
      </c>
      <c r="C65" s="2181" t="s">
        <v>458</v>
      </c>
      <c r="D65" s="2182"/>
      <c r="E65" s="116" t="e">
        <f>G65+I65+K65+M65+O65</f>
        <v>#DIV/0!</v>
      </c>
      <c r="F65" s="851" t="e">
        <f t="shared" si="108"/>
        <v>#DIV/0!</v>
      </c>
      <c r="G65" s="874" t="e">
        <f>$E16*G57/$E57</f>
        <v>#DIV/0!</v>
      </c>
      <c r="H65" s="849" t="e">
        <f t="shared" ref="H65:H72" si="114">IF(G65=0,"",G65/G$58)</f>
        <v>#DIV/0!</v>
      </c>
      <c r="I65" s="875" t="e">
        <f t="shared" ref="I65" si="115">$E16*I57/$E57</f>
        <v>#DIV/0!</v>
      </c>
      <c r="J65" s="849" t="e">
        <f t="shared" ref="J65" si="116">IF(I65=0,"",I65/I$58)</f>
        <v>#DIV/0!</v>
      </c>
      <c r="K65" s="875" t="e">
        <f t="shared" ref="K65" si="117">$E16*K57/$E57</f>
        <v>#DIV/0!</v>
      </c>
      <c r="L65" s="849" t="e">
        <f t="shared" ref="L65" si="118">IF(K65=0,"",K65/K$58)</f>
        <v>#DIV/0!</v>
      </c>
      <c r="M65" s="875" t="e">
        <f t="shared" ref="M65" si="119">$E16*M57/$E57</f>
        <v>#DIV/0!</v>
      </c>
      <c r="N65" s="849" t="e">
        <f t="shared" ref="N65" si="120">IF(M65=0,"",M65/M$58)</f>
        <v>#DIV/0!</v>
      </c>
      <c r="O65" s="875" t="e">
        <f t="shared" ref="O65" si="121">$E16*O57/$E57</f>
        <v>#DIV/0!</v>
      </c>
      <c r="P65" s="851" t="e">
        <f t="shared" ref="P65:P67" si="122">IF(O65=0,"",O65/O$58)</f>
        <v>#DIV/0!</v>
      </c>
      <c r="Q65" s="870"/>
      <c r="R65" s="871"/>
      <c r="S65" s="871"/>
      <c r="T65" s="871"/>
      <c r="U65" s="871"/>
      <c r="V65" s="785" t="e">
        <f t="shared" ref="V65:V69" si="123">G65+I65+K65+M65+O65</f>
        <v>#DIV/0!</v>
      </c>
      <c r="X65" s="100"/>
      <c r="AV65" s="100"/>
      <c r="BT65" s="100"/>
    </row>
    <row r="66" spans="1:91" s="4" customFormat="1" ht="21" customHeight="1" x14ac:dyDescent="0.2">
      <c r="A66" s="1524"/>
      <c r="B66" s="2172"/>
      <c r="C66" s="2183" t="s">
        <v>443</v>
      </c>
      <c r="D66" s="2182"/>
      <c r="E66" s="125">
        <f>G66+I66+K66+M66+O66</f>
        <v>0</v>
      </c>
      <c r="F66" s="803" t="str">
        <f t="shared" ref="F66:F67" si="124">IF(E66=0,"",E66/E$34)</f>
        <v/>
      </c>
      <c r="G66" s="828">
        <f>$E17*G$32</f>
        <v>0</v>
      </c>
      <c r="H66" s="809" t="str">
        <f t="shared" si="114"/>
        <v/>
      </c>
      <c r="I66" s="800">
        <f t="shared" ref="I66" si="125">$E17*I$32</f>
        <v>0</v>
      </c>
      <c r="J66" s="809" t="str">
        <f t="shared" ref="J66" si="126">IF(I66=0,"",I66/I$58)</f>
        <v/>
      </c>
      <c r="K66" s="800">
        <f t="shared" ref="K66" si="127">$E17*K$32</f>
        <v>0</v>
      </c>
      <c r="L66" s="809" t="str">
        <f t="shared" ref="L66" si="128">IF(K66=0,"",K66/K$58)</f>
        <v/>
      </c>
      <c r="M66" s="800">
        <f t="shared" ref="M66" si="129">$E17*M$32</f>
        <v>0</v>
      </c>
      <c r="N66" s="809" t="str">
        <f t="shared" ref="N66" si="130">IF(M66=0,"",M66/M$58)</f>
        <v/>
      </c>
      <c r="O66" s="800">
        <f t="shared" ref="O66" si="131">$E17*O$32</f>
        <v>0</v>
      </c>
      <c r="P66" s="819" t="str">
        <f t="shared" si="122"/>
        <v/>
      </c>
      <c r="Q66" s="870"/>
      <c r="R66"/>
      <c r="S66"/>
      <c r="T66" s="785"/>
      <c r="V66" s="785">
        <f t="shared" si="123"/>
        <v>0</v>
      </c>
      <c r="X66" s="100"/>
      <c r="AV66" s="100"/>
      <c r="BT66" s="100"/>
    </row>
    <row r="67" spans="1:91" s="4" customFormat="1" ht="21" customHeight="1" x14ac:dyDescent="0.2">
      <c r="A67" s="1524"/>
      <c r="B67" s="2173"/>
      <c r="C67" s="2164" t="s">
        <v>491</v>
      </c>
      <c r="D67" s="2165"/>
      <c r="E67" s="267">
        <f>G67+I67+K67+M67+O67</f>
        <v>0</v>
      </c>
      <c r="F67" s="805" t="str">
        <f t="shared" si="124"/>
        <v/>
      </c>
      <c r="G67" s="829">
        <f>$E18*G$32</f>
        <v>0</v>
      </c>
      <c r="H67" s="948" t="str">
        <f t="shared" si="114"/>
        <v/>
      </c>
      <c r="I67" s="801">
        <f t="shared" ref="I67" si="132">$E18*I$32</f>
        <v>0</v>
      </c>
      <c r="J67" s="811" t="str">
        <f t="shared" ref="J67" si="133">IF(I67=0,"",I67/I$58)</f>
        <v/>
      </c>
      <c r="K67" s="801">
        <f t="shared" ref="K67" si="134">$E18*K$32</f>
        <v>0</v>
      </c>
      <c r="L67" s="811" t="str">
        <f t="shared" ref="L67" si="135">IF(K67=0,"",K67/K$58)</f>
        <v/>
      </c>
      <c r="M67" s="801">
        <f t="shared" ref="M67" si="136">$E18*M$32</f>
        <v>0</v>
      </c>
      <c r="N67" s="811" t="str">
        <f t="shared" ref="N67" si="137">IF(M67=0,"",M67/M$58)</f>
        <v/>
      </c>
      <c r="O67" s="801">
        <f t="shared" ref="O67" si="138">$E18*O$32</f>
        <v>0</v>
      </c>
      <c r="P67" s="823" t="str">
        <f t="shared" si="122"/>
        <v/>
      </c>
      <c r="Q67" s="870"/>
      <c r="R67"/>
      <c r="S67"/>
      <c r="T67" s="785"/>
      <c r="V67" s="785">
        <f t="shared" si="123"/>
        <v>0</v>
      </c>
      <c r="X67" s="100"/>
      <c r="AV67" s="100"/>
      <c r="BT67" s="100"/>
    </row>
    <row r="68" spans="1:91" ht="21.75" customHeight="1" thickBot="1" x14ac:dyDescent="0.25">
      <c r="A68" s="1525"/>
      <c r="B68" s="936"/>
      <c r="C68" s="245"/>
      <c r="D68" s="792" t="s">
        <v>184</v>
      </c>
      <c r="E68" s="239" t="e">
        <f>SUM(E64:E67)</f>
        <v>#DIV/0!</v>
      </c>
      <c r="F68" s="806" t="e">
        <f>IF(E68=0,"",E68/E$58)</f>
        <v>#DIV/0!</v>
      </c>
      <c r="G68" s="858" t="e">
        <f t="shared" ref="G68" si="139">SUM(G64:G67)</f>
        <v>#DIV/0!</v>
      </c>
      <c r="H68" s="859" t="e">
        <f t="shared" si="114"/>
        <v>#DIV/0!</v>
      </c>
      <c r="I68" s="860" t="e">
        <f t="shared" ref="I68" si="140">SUM(I64:I67)</f>
        <v>#DIV/0!</v>
      </c>
      <c r="J68" s="859" t="e">
        <f>IF(I68=0,"",I68/I$58)</f>
        <v>#DIV/0!</v>
      </c>
      <c r="K68" s="860" t="e">
        <f t="shared" ref="K68" si="141">SUM(K64:K67)</f>
        <v>#DIV/0!</v>
      </c>
      <c r="L68" s="859" t="e">
        <f>IF(K68=0,"",K68/K$58)</f>
        <v>#DIV/0!</v>
      </c>
      <c r="M68" s="860" t="e">
        <f t="shared" ref="M68" si="142">SUM(M64:M67)</f>
        <v>#DIV/0!</v>
      </c>
      <c r="N68" s="859" t="e">
        <f>IF(M68=0,"",M68/M$58)</f>
        <v>#DIV/0!</v>
      </c>
      <c r="O68" s="860" t="e">
        <f t="shared" ref="O68" si="143">SUM(O64:O67)</f>
        <v>#DIV/0!</v>
      </c>
      <c r="P68" s="861" t="e">
        <f>IF(O68=0,"",O68/O$58)</f>
        <v>#DIV/0!</v>
      </c>
      <c r="Q68" s="870"/>
      <c r="R68"/>
      <c r="S68"/>
      <c r="T68" s="785"/>
      <c r="V68" s="785" t="e">
        <f t="shared" si="123"/>
        <v>#DIV/0!</v>
      </c>
    </row>
    <row r="69" spans="1:91" ht="21.75" customHeight="1" thickBot="1" x14ac:dyDescent="0.25">
      <c r="A69" s="1464" t="s">
        <v>49</v>
      </c>
      <c r="B69" s="1521"/>
      <c r="C69" s="1521"/>
      <c r="D69" s="1561"/>
      <c r="E69" s="166" t="e">
        <f>E63-E68</f>
        <v>#DIV/0!</v>
      </c>
      <c r="F69" s="807" t="e">
        <f>IF(E69=0,"",E69/E$58)</f>
        <v>#DIV/0!</v>
      </c>
      <c r="G69" s="624" t="e">
        <f>G63-G68</f>
        <v>#DIV/0!</v>
      </c>
      <c r="H69" s="812" t="e">
        <f t="shared" si="114"/>
        <v>#DIV/0!</v>
      </c>
      <c r="I69" s="166" t="e">
        <f>I63-I68</f>
        <v>#DIV/0!</v>
      </c>
      <c r="J69" s="812" t="e">
        <f>IF(I69=0,"",I69/I$58)</f>
        <v>#DIV/0!</v>
      </c>
      <c r="K69" s="166" t="e">
        <f>K63-K68</f>
        <v>#DIV/0!</v>
      </c>
      <c r="L69" s="812" t="e">
        <f>IF(K69=0,"",K69/K$58)</f>
        <v>#DIV/0!</v>
      </c>
      <c r="M69" s="166" t="e">
        <f>M63-M68</f>
        <v>#DIV/0!</v>
      </c>
      <c r="N69" s="812" t="e">
        <f>IF(M69=0,"",M69/M$58)</f>
        <v>#DIV/0!</v>
      </c>
      <c r="O69" s="166" t="e">
        <f>O63-O68</f>
        <v>#DIV/0!</v>
      </c>
      <c r="P69" s="814" t="e">
        <f>IF(O69=0,"",O69/O$58)</f>
        <v>#DIV/0!</v>
      </c>
      <c r="Q69" s="454"/>
      <c r="R69"/>
      <c r="S69" s="824"/>
      <c r="V69" s="785" t="e">
        <f t="shared" si="123"/>
        <v>#DIV/0!</v>
      </c>
    </row>
    <row r="70" spans="1:91" ht="21.75" customHeight="1" x14ac:dyDescent="0.2">
      <c r="A70" s="2152" t="s">
        <v>492</v>
      </c>
      <c r="B70" s="2154" t="s">
        <v>486</v>
      </c>
      <c r="C70" s="1610"/>
      <c r="D70" s="1610"/>
      <c r="E70" s="949">
        <f>E21</f>
        <v>0</v>
      </c>
      <c r="F70" s="809" t="str">
        <f>IF(E70=0,"",E70/E$58)</f>
        <v/>
      </c>
      <c r="G70" s="942">
        <f>$E70*G$56</f>
        <v>0</v>
      </c>
      <c r="H70" s="809" t="str">
        <f t="shared" si="114"/>
        <v/>
      </c>
      <c r="I70" s="942">
        <f>$E70*I$56</f>
        <v>0</v>
      </c>
      <c r="J70" s="809" t="str">
        <f>IF(I70=0,"",I70/I$58)</f>
        <v/>
      </c>
      <c r="K70" s="942">
        <f>$E70*K$56</f>
        <v>0</v>
      </c>
      <c r="L70" s="809" t="str">
        <f>IF(K70=0,"",K70/K$58)</f>
        <v/>
      </c>
      <c r="M70" s="942">
        <f>$E70*M$56</f>
        <v>0</v>
      </c>
      <c r="N70" s="809" t="str">
        <f>IF(M70=0,"",M70/M$58)</f>
        <v/>
      </c>
      <c r="O70" s="942">
        <f>$E70*O$56</f>
        <v>0</v>
      </c>
      <c r="P70" s="809" t="str">
        <f>IF(O70=0,"",O70/O$58)</f>
        <v/>
      </c>
      <c r="Q70" s="454"/>
      <c r="R70"/>
      <c r="S70" s="824"/>
      <c r="V70" s="785"/>
    </row>
    <row r="71" spans="1:91" ht="21.75" customHeight="1" thickBot="1" x14ac:dyDescent="0.25">
      <c r="A71" s="2153"/>
      <c r="B71" s="2155" t="s">
        <v>487</v>
      </c>
      <c r="C71" s="1608"/>
      <c r="D71" s="1608"/>
      <c r="E71" s="950">
        <f>E22</f>
        <v>0</v>
      </c>
      <c r="F71" s="943" t="str">
        <f>IF(E71=0,"",E71/E$58)</f>
        <v/>
      </c>
      <c r="G71" s="273">
        <f>$E71*G$56</f>
        <v>0</v>
      </c>
      <c r="H71" s="943" t="str">
        <f t="shared" si="114"/>
        <v/>
      </c>
      <c r="I71" s="273">
        <f>$E71*I$56</f>
        <v>0</v>
      </c>
      <c r="J71" s="943" t="str">
        <f>IF(I71=0,"",I71/I$58)</f>
        <v/>
      </c>
      <c r="K71" s="273">
        <f>$E71*K$56</f>
        <v>0</v>
      </c>
      <c r="L71" s="943" t="str">
        <f>IF(K71=0,"",K71/K$58)</f>
        <v/>
      </c>
      <c r="M71" s="273">
        <f>$E71*M$56</f>
        <v>0</v>
      </c>
      <c r="N71" s="943" t="str">
        <f>IF(M71=0,"",M71/M$58)</f>
        <v/>
      </c>
      <c r="O71" s="273">
        <f>$E71*O$56</f>
        <v>0</v>
      </c>
      <c r="P71" s="943" t="str">
        <f>IF(O71=0,"",O71/O$58)</f>
        <v/>
      </c>
      <c r="Q71" s="454"/>
      <c r="R71"/>
      <c r="S71" s="824"/>
      <c r="V71" s="785"/>
    </row>
    <row r="72" spans="1:91" ht="21.75" customHeight="1" thickBot="1" x14ac:dyDescent="0.25">
      <c r="A72" s="2156" t="s">
        <v>488</v>
      </c>
      <c r="B72" s="2157"/>
      <c r="C72" s="2157"/>
      <c r="D72" s="2157"/>
      <c r="E72" s="166" t="e">
        <f>E69+E70-E71</f>
        <v>#DIV/0!</v>
      </c>
      <c r="F72" s="812" t="e">
        <f>IF(E72=0,"",E72/E$58)</f>
        <v>#DIV/0!</v>
      </c>
      <c r="G72" s="166" t="e">
        <f t="shared" ref="G72" si="144">G69+G70-G71</f>
        <v>#DIV/0!</v>
      </c>
      <c r="H72" s="812" t="e">
        <f t="shared" si="114"/>
        <v>#DIV/0!</v>
      </c>
      <c r="I72" s="166" t="e">
        <f t="shared" ref="I72" si="145">I69+I70-I71</f>
        <v>#DIV/0!</v>
      </c>
      <c r="J72" s="812" t="e">
        <f>IF(I72=0,"",I72/I$58)</f>
        <v>#DIV/0!</v>
      </c>
      <c r="K72" s="166" t="e">
        <f t="shared" ref="K72" si="146">K69+K70-K71</f>
        <v>#DIV/0!</v>
      </c>
      <c r="L72" s="812" t="e">
        <f>IF(K72=0,"",K72/K$58)</f>
        <v>#DIV/0!</v>
      </c>
      <c r="M72" s="166" t="e">
        <f t="shared" ref="M72" si="147">M69+M70-M71</f>
        <v>#DIV/0!</v>
      </c>
      <c r="N72" s="812" t="e">
        <f>IF(M72=0,"",M72/M$58)</f>
        <v>#DIV/0!</v>
      </c>
      <c r="O72" s="166" t="e">
        <f t="shared" ref="O72" si="148">O69+O70-O71</f>
        <v>#DIV/0!</v>
      </c>
      <c r="P72" s="812" t="e">
        <f>IF(O72=0,"",O72/O$58)</f>
        <v>#DIV/0!</v>
      </c>
      <c r="Q72" s="454"/>
      <c r="R72"/>
      <c r="S72" s="824"/>
      <c r="V72" s="785"/>
    </row>
    <row r="73" spans="1:91" ht="13.5" customHeight="1" thickBot="1" x14ac:dyDescent="0.25"/>
    <row r="74" spans="1:91" s="104" customFormat="1" ht="21" customHeight="1" x14ac:dyDescent="0.2">
      <c r="A74" s="2158" t="s">
        <v>461</v>
      </c>
      <c r="B74" s="1555" t="s">
        <v>459</v>
      </c>
      <c r="C74" s="1556"/>
      <c r="D74" s="1556"/>
      <c r="E74" s="191" t="e">
        <f>(E60+E61+E65+E66+E67+E71-E70)/F75</f>
        <v>#DIV/0!</v>
      </c>
      <c r="F74" s="847" t="e">
        <f>IF(E74=0,"",E74/E$58)</f>
        <v>#DIV/0!</v>
      </c>
      <c r="G74" s="862" t="e">
        <f t="shared" ref="G74" si="149">(G60+G61+G65+G66+G67+G71-G70)/H75</f>
        <v>#DIV/0!</v>
      </c>
      <c r="H74" s="863" t="e">
        <f t="shared" ref="H74" si="150">IF(G74=0,"",G74/G$58)</f>
        <v>#DIV/0!</v>
      </c>
      <c r="I74" s="864" t="e">
        <f t="shared" ref="I74" si="151">(I60+I61+I65+I66+I67+I71-I70)/J75</f>
        <v>#DIV/0!</v>
      </c>
      <c r="J74" s="863" t="e">
        <f t="shared" ref="J74" si="152">IF(I74=0,"",I74/I$58)</f>
        <v>#DIV/0!</v>
      </c>
      <c r="K74" s="864" t="e">
        <f t="shared" ref="K74" si="153">(K60+K61+K65+K66+K67+K71-K70)/L75</f>
        <v>#DIV/0!</v>
      </c>
      <c r="L74" s="863" t="e">
        <f t="shared" ref="L74" si="154">IF(K74=0,"",K74/K$58)</f>
        <v>#DIV/0!</v>
      </c>
      <c r="M74" s="864" t="e">
        <f t="shared" ref="M74" si="155">(M60+M61+M65+M66+M67+M71-M70)/N75</f>
        <v>#DIV/0!</v>
      </c>
      <c r="N74" s="863" t="e">
        <f t="shared" ref="N74" si="156">IF(M74=0,"",M74/M$58)</f>
        <v>#DIV/0!</v>
      </c>
      <c r="O74" s="864" t="e">
        <f t="shared" ref="O74" si="157">(O60+O61+O65+O66+O67+O71-O70)/P75</f>
        <v>#DIV/0!</v>
      </c>
      <c r="P74" s="865" t="e">
        <f t="shared" ref="P74:P75" si="158">IF(O74=0,"",O74/O$58)</f>
        <v>#DIV/0!</v>
      </c>
      <c r="Q74" s="357"/>
      <c r="R74" s="785"/>
      <c r="S74" s="357"/>
      <c r="T74" s="4"/>
      <c r="U74" s="4"/>
      <c r="V74" s="4"/>
      <c r="W74" s="4"/>
      <c r="X74" s="100"/>
      <c r="Y74" s="4"/>
      <c r="Z74" s="4"/>
      <c r="AA74" s="4"/>
      <c r="AB74" s="4"/>
      <c r="AC74" s="4"/>
      <c r="AD74" s="4"/>
      <c r="AE74" s="4"/>
      <c r="AF74" s="4"/>
      <c r="AG74" s="4"/>
      <c r="AH74" s="4"/>
      <c r="AI74" s="4"/>
      <c r="AJ74" s="4"/>
      <c r="AK74" s="4"/>
      <c r="AL74" s="4"/>
      <c r="AM74" s="4"/>
      <c r="AN74" s="4"/>
      <c r="AO74" s="4"/>
      <c r="AP74" s="4"/>
      <c r="AQ74" s="4"/>
      <c r="AR74" s="4"/>
      <c r="AS74" s="4"/>
      <c r="AT74" s="4"/>
      <c r="AU74" s="4"/>
      <c r="AV74" s="100"/>
      <c r="AW74" s="4"/>
      <c r="AX74" s="4"/>
      <c r="AY74" s="4"/>
      <c r="AZ74" s="4"/>
      <c r="BA74" s="4"/>
      <c r="BB74" s="4"/>
      <c r="BC74" s="4"/>
      <c r="BD74" s="4"/>
      <c r="BE74" s="4"/>
      <c r="BF74" s="4"/>
      <c r="BG74" s="4"/>
      <c r="BH74" s="4"/>
      <c r="BI74" s="4"/>
      <c r="BJ74" s="4"/>
      <c r="BK74" s="4"/>
      <c r="BL74" s="4"/>
      <c r="BM74" s="4"/>
      <c r="BN74" s="4"/>
      <c r="BO74" s="4"/>
      <c r="BP74" s="4"/>
      <c r="BQ74" s="4"/>
      <c r="BR74" s="4"/>
      <c r="BS74" s="4"/>
      <c r="BT74" s="100"/>
      <c r="BU74" s="4"/>
      <c r="BV74" s="4"/>
      <c r="BW74" s="4"/>
      <c r="BX74" s="4"/>
      <c r="BY74" s="4"/>
      <c r="BZ74" s="4"/>
      <c r="CA74" s="4"/>
      <c r="CB74" s="4"/>
      <c r="CC74" s="4"/>
      <c r="CD74" s="4"/>
      <c r="CE74" s="4"/>
      <c r="CF74" s="4"/>
      <c r="CG74" s="4"/>
      <c r="CH74" s="4"/>
      <c r="CI74" s="4"/>
      <c r="CJ74" s="4"/>
      <c r="CK74" s="4"/>
      <c r="CL74" s="4"/>
      <c r="CM74" s="4"/>
    </row>
    <row r="75" spans="1:91" s="104" customFormat="1" ht="21" customHeight="1" thickBot="1" x14ac:dyDescent="0.25">
      <c r="A75" s="2159"/>
      <c r="B75" s="1473" t="s">
        <v>460</v>
      </c>
      <c r="C75" s="1519"/>
      <c r="D75" s="1519"/>
      <c r="E75" s="194" t="e">
        <f>E58-E59-E64</f>
        <v>#DIV/0!</v>
      </c>
      <c r="F75" s="805" t="e">
        <f>IF(E75=0,"",E75/E$58)</f>
        <v>#DIV/0!</v>
      </c>
      <c r="G75" s="866" t="e">
        <f t="shared" ref="G75" si="159">G58-G59-G64</f>
        <v>#DIV/0!</v>
      </c>
      <c r="H75" s="867" t="e">
        <f t="shared" ref="H75" si="160">IF(G75=0,"",G75/G$58)</f>
        <v>#DIV/0!</v>
      </c>
      <c r="I75" s="868" t="e">
        <f t="shared" ref="I75" si="161">I58-I59-I64</f>
        <v>#DIV/0!</v>
      </c>
      <c r="J75" s="867" t="e">
        <f t="shared" ref="J75" si="162">IF(I75=0,"",I75/I$58)</f>
        <v>#DIV/0!</v>
      </c>
      <c r="K75" s="868" t="e">
        <f t="shared" ref="K75" si="163">K58-K59-K64</f>
        <v>#DIV/0!</v>
      </c>
      <c r="L75" s="867" t="e">
        <f t="shared" ref="L75" si="164">IF(K75=0,"",K75/K$58)</f>
        <v>#DIV/0!</v>
      </c>
      <c r="M75" s="868" t="e">
        <f t="shared" ref="M75" si="165">M58-M59-M64</f>
        <v>#DIV/0!</v>
      </c>
      <c r="N75" s="867" t="e">
        <f t="shared" ref="N75" si="166">IF(M75=0,"",M75/M$58)</f>
        <v>#DIV/0!</v>
      </c>
      <c r="O75" s="868" t="e">
        <f t="shared" ref="O75" si="167">O58-O59-O64</f>
        <v>#DIV/0!</v>
      </c>
      <c r="P75" s="869" t="e">
        <f t="shared" si="158"/>
        <v>#DIV/0!</v>
      </c>
      <c r="Q75" s="357"/>
      <c r="R75" s="785"/>
      <c r="S75" s="357"/>
      <c r="T75" s="4"/>
      <c r="U75" s="4"/>
      <c r="V75" s="4"/>
      <c r="W75" s="4"/>
      <c r="X75" s="100"/>
      <c r="Y75" s="4"/>
      <c r="Z75" s="4"/>
      <c r="AA75" s="4"/>
      <c r="AB75" s="4"/>
      <c r="AC75" s="4"/>
      <c r="AD75" s="4"/>
      <c r="AE75" s="4"/>
      <c r="AF75" s="4"/>
      <c r="AG75" s="4"/>
      <c r="AH75" s="4"/>
      <c r="AI75" s="4"/>
      <c r="AJ75" s="4"/>
      <c r="AK75" s="4"/>
      <c r="AL75" s="4"/>
      <c r="AM75" s="4"/>
      <c r="AN75" s="4"/>
      <c r="AO75" s="4"/>
      <c r="AP75" s="4"/>
      <c r="AQ75" s="4"/>
      <c r="AR75" s="4"/>
      <c r="AS75" s="4"/>
      <c r="AT75" s="4"/>
      <c r="AU75" s="4"/>
      <c r="AV75" s="100"/>
      <c r="AW75" s="4"/>
      <c r="AX75" s="4"/>
      <c r="AY75" s="4"/>
      <c r="AZ75" s="4"/>
      <c r="BA75" s="4"/>
      <c r="BB75" s="4"/>
      <c r="BC75" s="4"/>
      <c r="BD75" s="4"/>
      <c r="BE75" s="4"/>
      <c r="BF75" s="4"/>
      <c r="BG75" s="4"/>
      <c r="BH75" s="4"/>
      <c r="BI75" s="4"/>
      <c r="BJ75" s="4"/>
      <c r="BK75" s="4"/>
      <c r="BL75" s="4"/>
      <c r="BM75" s="4"/>
      <c r="BN75" s="4"/>
      <c r="BO75" s="4"/>
      <c r="BP75" s="4"/>
      <c r="BQ75" s="4"/>
      <c r="BR75" s="4"/>
      <c r="BS75" s="4"/>
      <c r="BT75" s="100"/>
      <c r="BU75" s="4"/>
      <c r="BV75" s="4"/>
      <c r="BW75" s="4"/>
      <c r="BX75" s="4"/>
      <c r="BY75" s="4"/>
      <c r="BZ75" s="4"/>
      <c r="CA75" s="4"/>
      <c r="CB75" s="4"/>
      <c r="CC75" s="4"/>
      <c r="CD75" s="4"/>
      <c r="CE75" s="4"/>
      <c r="CF75" s="4"/>
      <c r="CG75" s="4"/>
      <c r="CH75" s="4"/>
      <c r="CI75" s="4"/>
      <c r="CJ75" s="4"/>
      <c r="CK75" s="4"/>
      <c r="CL75" s="4"/>
      <c r="CM75" s="4"/>
    </row>
    <row r="76" spans="1:91" ht="31.5" customHeight="1" x14ac:dyDescent="0.2">
      <c r="B76" s="2151" t="s">
        <v>464</v>
      </c>
      <c r="C76" s="1970"/>
      <c r="D76" s="1970"/>
      <c r="E76" s="100" t="e">
        <f>(E60+E65)/E57</f>
        <v>#DIV/0!</v>
      </c>
    </row>
  </sheetData>
  <sheetProtection sheet="1" objects="1" scenarios="1" selectLockedCells="1"/>
  <mergeCells count="94">
    <mergeCell ref="B52:D52"/>
    <mergeCell ref="A54:D54"/>
    <mergeCell ref="B75:D75"/>
    <mergeCell ref="A58:D58"/>
    <mergeCell ref="A59:A61"/>
    <mergeCell ref="B60:B61"/>
    <mergeCell ref="A62:D62"/>
    <mergeCell ref="A63:D63"/>
    <mergeCell ref="C65:D65"/>
    <mergeCell ref="C66:D66"/>
    <mergeCell ref="B74:D74"/>
    <mergeCell ref="A64:A68"/>
    <mergeCell ref="B64:D64"/>
    <mergeCell ref="B65:B67"/>
    <mergeCell ref="C67:D67"/>
    <mergeCell ref="A69:D69"/>
    <mergeCell ref="R54:S54"/>
    <mergeCell ref="A55:D56"/>
    <mergeCell ref="F55:F57"/>
    <mergeCell ref="H55:H57"/>
    <mergeCell ref="J55:J57"/>
    <mergeCell ref="L55:L57"/>
    <mergeCell ref="N55:N57"/>
    <mergeCell ref="P55:P57"/>
    <mergeCell ref="R55:U61"/>
    <mergeCell ref="E5:F5"/>
    <mergeCell ref="G5:P5"/>
    <mergeCell ref="R5:S5"/>
    <mergeCell ref="A6:D7"/>
    <mergeCell ref="E6:E8"/>
    <mergeCell ref="F6:F8"/>
    <mergeCell ref="H6:H8"/>
    <mergeCell ref="J6:J8"/>
    <mergeCell ref="L6:L8"/>
    <mergeCell ref="N6:N8"/>
    <mergeCell ref="P6:P8"/>
    <mergeCell ref="S6:S8"/>
    <mergeCell ref="T6:T8"/>
    <mergeCell ref="A9:D9"/>
    <mergeCell ref="A13:D13"/>
    <mergeCell ref="T13:U13"/>
    <mergeCell ref="A34:D34"/>
    <mergeCell ref="A20:D20"/>
    <mergeCell ref="A30:D30"/>
    <mergeCell ref="R31:U37"/>
    <mergeCell ref="A14:D14"/>
    <mergeCell ref="C16:D16"/>
    <mergeCell ref="C17:D17"/>
    <mergeCell ref="R30:S30"/>
    <mergeCell ref="A31:D32"/>
    <mergeCell ref="F31:F33"/>
    <mergeCell ref="H31:H33"/>
    <mergeCell ref="J31:J33"/>
    <mergeCell ref="L31:L33"/>
    <mergeCell ref="N31:N33"/>
    <mergeCell ref="P31:P33"/>
    <mergeCell ref="A45:D45"/>
    <mergeCell ref="A50:A51"/>
    <mergeCell ref="B50:D50"/>
    <mergeCell ref="B51:D51"/>
    <mergeCell ref="A38:D38"/>
    <mergeCell ref="A39:D39"/>
    <mergeCell ref="C41:D41"/>
    <mergeCell ref="C42:D42"/>
    <mergeCell ref="C43:D43"/>
    <mergeCell ref="A40:A44"/>
    <mergeCell ref="B40:D40"/>
    <mergeCell ref="B41:B43"/>
    <mergeCell ref="A46:A47"/>
    <mergeCell ref="B46:D46"/>
    <mergeCell ref="B47:D47"/>
    <mergeCell ref="A48:D48"/>
    <mergeCell ref="B27:D27"/>
    <mergeCell ref="A25:A26"/>
    <mergeCell ref="A35:A37"/>
    <mergeCell ref="B36:B37"/>
    <mergeCell ref="B11:B12"/>
    <mergeCell ref="A10:A12"/>
    <mergeCell ref="C18:D18"/>
    <mergeCell ref="B25:D25"/>
    <mergeCell ref="B26:D26"/>
    <mergeCell ref="A23:D23"/>
    <mergeCell ref="B21:D21"/>
    <mergeCell ref="B22:D22"/>
    <mergeCell ref="A15:A19"/>
    <mergeCell ref="B15:D15"/>
    <mergeCell ref="B16:B18"/>
    <mergeCell ref="A21:A22"/>
    <mergeCell ref="B76:D76"/>
    <mergeCell ref="A70:A71"/>
    <mergeCell ref="B70:D70"/>
    <mergeCell ref="B71:D71"/>
    <mergeCell ref="A72:D72"/>
    <mergeCell ref="A74:A75"/>
  </mergeCells>
  <phoneticPr fontId="2"/>
  <pageMargins left="0.62992125984251968" right="0.23622047244094491" top="0.70866141732283472" bottom="0.39370078740157483" header="0.51181102362204722" footer="0.31496062992125984"/>
  <pageSetup paperSize="8" scale="46" orientation="portrait" r:id="rId1"/>
  <headerFooter alignWithMargins="0"/>
  <ignoredErrors>
    <ignoredError sqref="G34:P34 G49:P49 G35:G37 G38:G40 G44:G45 F49:F51 G46:G48 O44:O45 M46:M48 O46:O48 M44:M45 K46:K48 K44:K45 I46:I48 I44:I45 H36:H39 H46:H48 H44:H45 J44:J45 J46:J48 L44:L45 L46:L48 N44:N45 P46:P48 N46:N48 P44:P45 J36:J39 L36:L39 N36:N39 P36:P39 H41:H42 J41:J43 N41:N43 P41:P43 L41:L43 F38:F48" formula="1"/>
    <ignoredError sqref="E36:E49" unlockedFormula="1"/>
    <ignoredError sqref="G41:G43 O36:O39 M36:M39 K36:K39 I36:I39 P35 N35 L35 J35 H35 I35 K35 M35 O35 O41:O43 K41:K43 P40 N40 L40 J40 H40 I41:I43 M41:M43 I40 K40 M40 O40 H43" formula="1" unlockedFormula="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F54"/>
  <sheetViews>
    <sheetView topLeftCell="A36" workbookViewId="0">
      <selection activeCell="C39" sqref="C39:C44"/>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6" t="s">
        <v>682</v>
      </c>
      <c r="C1" s="2206"/>
      <c r="D1" s="1234"/>
    </row>
    <row r="2" spans="2:6" ht="18.75" customHeight="1" x14ac:dyDescent="0.2">
      <c r="B2" s="1111"/>
      <c r="C2" s="1111"/>
    </row>
    <row r="3" spans="2:6" ht="18.75" customHeight="1" x14ac:dyDescent="0.2"/>
    <row r="4" spans="2:6" s="1118" customFormat="1" ht="18.75" customHeight="1" x14ac:dyDescent="0.2">
      <c r="B4" s="2207" t="s">
        <v>636</v>
      </c>
      <c r="C4" s="2207"/>
      <c r="D4" s="1234"/>
    </row>
    <row r="5" spans="2:6" s="1118" customFormat="1" ht="18.75" customHeight="1" x14ac:dyDescent="0.2">
      <c r="B5" s="2208" t="str">
        <f>'財務諸表（入力）'!J4</f>
        <v>2022年2月1日～2023年1月31日</v>
      </c>
      <c r="C5" s="2208"/>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CFワークシート!D44</f>
        <v>0</v>
      </c>
    </row>
    <row r="10" spans="2:6" ht="16.5" customHeight="1" x14ac:dyDescent="0.2">
      <c r="B10" s="1246" t="s">
        <v>641</v>
      </c>
      <c r="C10" s="1247"/>
    </row>
    <row r="11" spans="2:6" ht="16.5" customHeight="1" x14ac:dyDescent="0.2">
      <c r="B11" s="1248" t="s">
        <v>642</v>
      </c>
      <c r="C11" s="1247">
        <f>CFワークシート!D48</f>
        <v>0</v>
      </c>
    </row>
    <row r="12" spans="2:6" ht="16.5" customHeight="1" x14ac:dyDescent="0.2">
      <c r="B12" s="1249" t="s">
        <v>643</v>
      </c>
      <c r="C12" s="1250">
        <f>CFワークシート!J13+CFワークシート!J18-CFワークシート!E16-CFワークシート!E25</f>
        <v>0</v>
      </c>
    </row>
    <row r="13" spans="2:6" ht="16.5" customHeight="1" x14ac:dyDescent="0.2">
      <c r="B13" s="1246" t="s">
        <v>644</v>
      </c>
      <c r="C13" s="1245"/>
    </row>
    <row r="14" spans="2:6" ht="16.5" customHeight="1" x14ac:dyDescent="0.2">
      <c r="B14" s="1248" t="s">
        <v>645</v>
      </c>
      <c r="C14" s="1251">
        <f>CFワークシート!E10*-1</f>
        <v>0</v>
      </c>
    </row>
    <row r="15" spans="2:6" ht="16.5" customHeight="1" x14ac:dyDescent="0.2">
      <c r="B15" s="1252" t="s">
        <v>646</v>
      </c>
      <c r="C15" s="1253">
        <f>CFワークシート!E11*-1</f>
        <v>0</v>
      </c>
    </row>
    <row r="16" spans="2:6" ht="16.5" customHeight="1" x14ac:dyDescent="0.2">
      <c r="B16" s="1252" t="s">
        <v>647</v>
      </c>
      <c r="C16" s="1254">
        <f>CFワークシート!E13*-1</f>
        <v>0</v>
      </c>
    </row>
    <row r="17" spans="2:4" ht="16.5" customHeight="1" x14ac:dyDescent="0.2">
      <c r="B17" s="1252" t="s">
        <v>648</v>
      </c>
      <c r="C17" s="1254">
        <f>CFワークシート!E15*-1</f>
        <v>0</v>
      </c>
    </row>
    <row r="18" spans="2:4" ht="16.5" customHeight="1" x14ac:dyDescent="0.2">
      <c r="B18" s="1252" t="s">
        <v>649</v>
      </c>
      <c r="C18" s="1254">
        <f>CFワークシート!J9</f>
        <v>0</v>
      </c>
    </row>
    <row r="19" spans="2:4" ht="16.5" customHeight="1" x14ac:dyDescent="0.2">
      <c r="B19" s="1252" t="s">
        <v>650</v>
      </c>
      <c r="C19" s="1254">
        <f>CFワークシート!J10</f>
        <v>0</v>
      </c>
    </row>
    <row r="20" spans="2:4" ht="16.5" customHeight="1" x14ac:dyDescent="0.2">
      <c r="B20" s="1252" t="s">
        <v>651</v>
      </c>
      <c r="C20" s="1254">
        <f>CFワークシート!J12</f>
        <v>0</v>
      </c>
    </row>
    <row r="21" spans="2:4" ht="16.5" customHeight="1" x14ac:dyDescent="0.2">
      <c r="B21" s="1252" t="s">
        <v>652</v>
      </c>
      <c r="C21" s="1254">
        <f>CFワークシート!J14</f>
        <v>0</v>
      </c>
      <c r="D21" s="1255"/>
    </row>
    <row r="22" spans="2:4" ht="16.5" customHeight="1" x14ac:dyDescent="0.2">
      <c r="B22" s="1252" t="s">
        <v>653</v>
      </c>
      <c r="C22" s="1254">
        <f>CFワークシート!J19</f>
        <v>0</v>
      </c>
    </row>
    <row r="23" spans="2:4" ht="16.5" customHeight="1" x14ac:dyDescent="0.2">
      <c r="B23" s="1256" t="s">
        <v>654</v>
      </c>
      <c r="C23" s="1257">
        <f>CFワークシート!F60</f>
        <v>0</v>
      </c>
    </row>
    <row r="24" spans="2:4" ht="16.5" customHeight="1" thickBot="1" x14ac:dyDescent="0.25">
      <c r="B24" s="1258" t="s">
        <v>655</v>
      </c>
      <c r="C24" s="1259">
        <f>SUM(C9:C23)</f>
        <v>0</v>
      </c>
    </row>
    <row r="25" spans="2:4" ht="16.5" customHeight="1" x14ac:dyDescent="0.2">
      <c r="B25" s="1260" t="s">
        <v>656</v>
      </c>
      <c r="C25" s="1261"/>
    </row>
    <row r="26" spans="2:4" ht="16.5" customHeight="1" x14ac:dyDescent="0.2">
      <c r="B26" s="1248" t="s">
        <v>657</v>
      </c>
      <c r="C26" s="1247">
        <f>CFワークシート!E12*-1</f>
        <v>0</v>
      </c>
    </row>
    <row r="27" spans="2:4" ht="16.5" customHeight="1" x14ac:dyDescent="0.2">
      <c r="B27" s="1252" t="s">
        <v>658</v>
      </c>
      <c r="C27" s="1254">
        <f>CFワークシート!E14*-1</f>
        <v>0</v>
      </c>
    </row>
    <row r="28" spans="2:4" ht="16.5" customHeight="1" x14ac:dyDescent="0.2">
      <c r="B28" s="1262" t="s">
        <v>659</v>
      </c>
      <c r="C28" s="1253">
        <f>CFワークシート!E18*-1</f>
        <v>0</v>
      </c>
    </row>
    <row r="29" spans="2:4" ht="16.5" customHeight="1" x14ac:dyDescent="0.2">
      <c r="B29" s="1263" t="s">
        <v>660</v>
      </c>
      <c r="C29" s="1254">
        <f>(CFワークシート!E19+CFワークシート!D48)*-1</f>
        <v>0</v>
      </c>
    </row>
    <row r="30" spans="2:4" ht="16.5" customHeight="1" x14ac:dyDescent="0.2">
      <c r="B30" s="1263" t="s">
        <v>661</v>
      </c>
      <c r="C30" s="1254">
        <f>CFワークシート!E20*-1</f>
        <v>0</v>
      </c>
    </row>
    <row r="31" spans="2:4" ht="16.5" customHeight="1" x14ac:dyDescent="0.2">
      <c r="B31" s="1263" t="s">
        <v>662</v>
      </c>
      <c r="C31" s="1254">
        <f>CFワークシート!E21*-1</f>
        <v>0</v>
      </c>
    </row>
    <row r="32" spans="2:4" ht="16.5" customHeight="1" x14ac:dyDescent="0.2">
      <c r="B32" s="1263" t="s">
        <v>663</v>
      </c>
      <c r="C32" s="1254">
        <f>CFワークシート!E22*-1</f>
        <v>0</v>
      </c>
    </row>
    <row r="33" spans="2:3" ht="16.5" customHeight="1" x14ac:dyDescent="0.2">
      <c r="B33" s="1263" t="s">
        <v>664</v>
      </c>
      <c r="C33" s="1254">
        <f>CFワークシート!E23*-1</f>
        <v>0</v>
      </c>
    </row>
    <row r="34" spans="2:3" ht="16.5" customHeight="1" x14ac:dyDescent="0.2">
      <c r="B34" s="1263" t="s">
        <v>665</v>
      </c>
      <c r="C34" s="1264">
        <f>CFワークシート!E24*-1</f>
        <v>0</v>
      </c>
    </row>
    <row r="35" spans="2:3" ht="16.5" customHeight="1" x14ac:dyDescent="0.2">
      <c r="B35" s="1265" t="s">
        <v>666</v>
      </c>
      <c r="C35" s="1257">
        <f>CFワークシート!E27*-1</f>
        <v>0</v>
      </c>
    </row>
    <row r="36" spans="2:3" ht="16.5" customHeight="1" thickBot="1" x14ac:dyDescent="0.25">
      <c r="B36" s="1266" t="s">
        <v>667</v>
      </c>
      <c r="C36" s="1267">
        <f>SUM(C26:C35)</f>
        <v>0</v>
      </c>
    </row>
    <row r="37" spans="2:3" ht="16.5" customHeight="1" thickBot="1" x14ac:dyDescent="0.25">
      <c r="B37" s="1268" t="s">
        <v>668</v>
      </c>
      <c r="C37" s="1269">
        <f>C24+C36</f>
        <v>0</v>
      </c>
    </row>
    <row r="38" spans="2:3" ht="16.5" customHeight="1" x14ac:dyDescent="0.2">
      <c r="B38" s="1270" t="s">
        <v>669</v>
      </c>
      <c r="C38" s="1271"/>
    </row>
    <row r="39" spans="2:3" ht="16.5" customHeight="1" x14ac:dyDescent="0.2">
      <c r="B39" s="1248" t="s">
        <v>670</v>
      </c>
      <c r="C39" s="1247">
        <f>CFワークシート!J11</f>
        <v>0</v>
      </c>
    </row>
    <row r="40" spans="2:3" ht="16.5" customHeight="1" x14ac:dyDescent="0.2">
      <c r="B40" s="1252" t="s">
        <v>671</v>
      </c>
      <c r="C40" s="1254">
        <f>CFワークシート!J16</f>
        <v>0</v>
      </c>
    </row>
    <row r="41" spans="2:3" ht="16.5" customHeight="1" x14ac:dyDescent="0.2">
      <c r="B41" s="1252" t="s">
        <v>672</v>
      </c>
      <c r="C41" s="1254">
        <f>CFワークシート!J17</f>
        <v>0</v>
      </c>
    </row>
    <row r="42" spans="2:3" ht="16.5" customHeight="1" x14ac:dyDescent="0.2">
      <c r="B42" s="1252" t="s">
        <v>673</v>
      </c>
      <c r="C42" s="1254">
        <f>CFワークシート!J22+CFワークシート!J23</f>
        <v>0</v>
      </c>
    </row>
    <row r="43" spans="2:3" ht="16.5" customHeight="1" x14ac:dyDescent="0.2">
      <c r="B43" s="1252" t="s">
        <v>674</v>
      </c>
      <c r="C43" s="1254">
        <f>CFワークシート!J25+CFワークシート!J26</f>
        <v>0</v>
      </c>
    </row>
    <row r="44" spans="2:3" ht="16.5" customHeight="1" x14ac:dyDescent="0.2">
      <c r="B44" s="1256" t="s">
        <v>675</v>
      </c>
      <c r="C44" s="1257">
        <f>CFワークシート!F59</f>
        <v>0</v>
      </c>
    </row>
    <row r="45" spans="2:3" ht="16.5" customHeight="1" thickBot="1" x14ac:dyDescent="0.25">
      <c r="B45" s="1272" t="s">
        <v>676</v>
      </c>
      <c r="C45" s="1273">
        <f>SUM(C39:C44)</f>
        <v>0</v>
      </c>
    </row>
    <row r="46" spans="2:3" ht="16.5" customHeight="1" x14ac:dyDescent="0.2">
      <c r="B46" s="1274" t="s">
        <v>677</v>
      </c>
      <c r="C46" s="1275">
        <f>C37+C45</f>
        <v>0</v>
      </c>
    </row>
    <row r="47" spans="2:3" ht="16.5" customHeight="1" x14ac:dyDescent="0.2">
      <c r="B47" s="1276" t="s">
        <v>678</v>
      </c>
      <c r="C47" s="1277">
        <f>CFワークシート!C9</f>
        <v>0</v>
      </c>
    </row>
    <row r="48" spans="2:3" ht="16.5" customHeight="1" thickBot="1" x14ac:dyDescent="0.25">
      <c r="B48" s="1278" t="s">
        <v>679</v>
      </c>
      <c r="C48" s="1279">
        <f>C46+C47</f>
        <v>0</v>
      </c>
    </row>
    <row r="49" spans="2:3" ht="16.5" customHeight="1" thickBot="1" x14ac:dyDescent="0.25">
      <c r="B49" s="1280" t="s">
        <v>680</v>
      </c>
      <c r="C49" s="1281">
        <f>CFワークシート!D9</f>
        <v>0</v>
      </c>
    </row>
    <row r="50" spans="2:3" ht="16.5" customHeight="1" thickBot="1" x14ac:dyDescent="0.25">
      <c r="B50" s="1111"/>
      <c r="C50" s="1282">
        <f>C48-C49</f>
        <v>0</v>
      </c>
    </row>
    <row r="51" spans="2:3" ht="16.5" customHeight="1" thickTop="1" x14ac:dyDescent="0.2">
      <c r="B51" s="1111"/>
      <c r="C51" s="1283"/>
    </row>
    <row r="52" spans="2:3" ht="18.75" customHeight="1" x14ac:dyDescent="0.2">
      <c r="B52" s="1284" t="s">
        <v>688</v>
      </c>
      <c r="C52" s="1111"/>
    </row>
    <row r="54" spans="2:3" ht="21" customHeight="1" x14ac:dyDescent="0.2">
      <c r="B54" s="2209"/>
      <c r="C54" s="2209"/>
    </row>
  </sheetData>
  <protectedRanges>
    <protectedRange sqref="B5:C5" name="範囲1"/>
  </protectedRanges>
  <mergeCells count="4">
    <mergeCell ref="B1:C1"/>
    <mergeCell ref="B4:C4"/>
    <mergeCell ref="B5:C5"/>
    <mergeCell ref="B54:C54"/>
  </mergeCells>
  <phoneticPr fontId="2"/>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F54"/>
  <sheetViews>
    <sheetView workbookViewId="0">
      <selection activeCell="C9" sqref="C9"/>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6" t="s">
        <v>682</v>
      </c>
      <c r="C1" s="2206"/>
      <c r="D1" s="1234"/>
    </row>
    <row r="2" spans="2:6" ht="18.75" customHeight="1" x14ac:dyDescent="0.2">
      <c r="B2" s="1111"/>
      <c r="C2" s="1111"/>
    </row>
    <row r="3" spans="2:6" ht="18.75" customHeight="1" x14ac:dyDescent="0.2"/>
    <row r="4" spans="2:6" s="1118" customFormat="1" ht="18.75" customHeight="1" x14ac:dyDescent="0.2">
      <c r="B4" s="2207" t="s">
        <v>686</v>
      </c>
      <c r="C4" s="2207"/>
      <c r="D4" s="1234"/>
    </row>
    <row r="5" spans="2:6" s="1118" customFormat="1" ht="18.75" customHeight="1" x14ac:dyDescent="0.2">
      <c r="B5" s="2208" t="str">
        <f>'財務諸表（入力）'!G4</f>
        <v>2021年2月1日～2022年1月31日</v>
      </c>
      <c r="C5" s="2208"/>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CFワークシート②!D44</f>
        <v>0</v>
      </c>
    </row>
    <row r="10" spans="2:6" ht="16.5" customHeight="1" x14ac:dyDescent="0.2">
      <c r="B10" s="1246" t="s">
        <v>641</v>
      </c>
      <c r="C10" s="1247"/>
    </row>
    <row r="11" spans="2:6" ht="16.5" customHeight="1" x14ac:dyDescent="0.2">
      <c r="B11" s="1248" t="s">
        <v>642</v>
      </c>
      <c r="C11" s="1247">
        <f>CFワークシート②!D48</f>
        <v>0</v>
      </c>
    </row>
    <row r="12" spans="2:6" ht="16.5" customHeight="1" x14ac:dyDescent="0.2">
      <c r="B12" s="1249" t="s">
        <v>643</v>
      </c>
      <c r="C12" s="1250">
        <f>CFワークシート②!J13+CFワークシート②!J18-CFワークシート②!E16-CFワークシート②!E25</f>
        <v>0</v>
      </c>
    </row>
    <row r="13" spans="2:6" ht="16.5" customHeight="1" x14ac:dyDescent="0.2">
      <c r="B13" s="1246" t="s">
        <v>644</v>
      </c>
      <c r="C13" s="1245"/>
    </row>
    <row r="14" spans="2:6" ht="16.5" customHeight="1" x14ac:dyDescent="0.2">
      <c r="B14" s="1248" t="s">
        <v>645</v>
      </c>
      <c r="C14" s="1251">
        <f>CFワークシート②!E10*-1</f>
        <v>0</v>
      </c>
    </row>
    <row r="15" spans="2:6" ht="16.5" customHeight="1" x14ac:dyDescent="0.2">
      <c r="B15" s="1252" t="s">
        <v>646</v>
      </c>
      <c r="C15" s="1253">
        <f>CFワークシート②!E11*-1</f>
        <v>0</v>
      </c>
    </row>
    <row r="16" spans="2:6" ht="16.5" customHeight="1" x14ac:dyDescent="0.2">
      <c r="B16" s="1252" t="s">
        <v>647</v>
      </c>
      <c r="C16" s="1254">
        <f>CFワークシート②!E13*-1</f>
        <v>0</v>
      </c>
    </row>
    <row r="17" spans="2:4" ht="16.5" customHeight="1" x14ac:dyDescent="0.2">
      <c r="B17" s="1252" t="s">
        <v>648</v>
      </c>
      <c r="C17" s="1254">
        <f>CFワークシート②!E15*-1</f>
        <v>0</v>
      </c>
    </row>
    <row r="18" spans="2:4" ht="16.5" customHeight="1" x14ac:dyDescent="0.2">
      <c r="B18" s="1252" t="s">
        <v>649</v>
      </c>
      <c r="C18" s="1254">
        <f>CFワークシート②!J9</f>
        <v>0</v>
      </c>
    </row>
    <row r="19" spans="2:4" ht="16.5" customHeight="1" x14ac:dyDescent="0.2">
      <c r="B19" s="1252" t="s">
        <v>650</v>
      </c>
      <c r="C19" s="1254">
        <f>CFワークシート②!J10</f>
        <v>0</v>
      </c>
    </row>
    <row r="20" spans="2:4" ht="16.5" customHeight="1" x14ac:dyDescent="0.2">
      <c r="B20" s="1252" t="s">
        <v>651</v>
      </c>
      <c r="C20" s="1254">
        <f>CFワークシート②!J12</f>
        <v>0</v>
      </c>
    </row>
    <row r="21" spans="2:4" ht="16.5" customHeight="1" x14ac:dyDescent="0.2">
      <c r="B21" s="1252" t="s">
        <v>652</v>
      </c>
      <c r="C21" s="1254">
        <f>CFワークシート②!J14</f>
        <v>0</v>
      </c>
      <c r="D21" s="1255"/>
    </row>
    <row r="22" spans="2:4" ht="16.5" customHeight="1" x14ac:dyDescent="0.2">
      <c r="B22" s="1252" t="s">
        <v>653</v>
      </c>
      <c r="C22" s="1254">
        <f>CFワークシート②!J19</f>
        <v>0</v>
      </c>
    </row>
    <row r="23" spans="2:4" ht="16.5" customHeight="1" x14ac:dyDescent="0.2">
      <c r="B23" s="1256" t="s">
        <v>654</v>
      </c>
      <c r="C23" s="1257">
        <f>CFワークシート②!F60</f>
        <v>0</v>
      </c>
    </row>
    <row r="24" spans="2:4" ht="16.5" customHeight="1" thickBot="1" x14ac:dyDescent="0.25">
      <c r="B24" s="1258" t="s">
        <v>655</v>
      </c>
      <c r="C24" s="1259">
        <f>SUM(C9:C23)</f>
        <v>0</v>
      </c>
    </row>
    <row r="25" spans="2:4" ht="16.5" customHeight="1" x14ac:dyDescent="0.2">
      <c r="B25" s="1260" t="s">
        <v>656</v>
      </c>
      <c r="C25" s="1261"/>
    </row>
    <row r="26" spans="2:4" ht="16.5" customHeight="1" x14ac:dyDescent="0.2">
      <c r="B26" s="1248" t="s">
        <v>657</v>
      </c>
      <c r="C26" s="1247">
        <f>CFワークシート②!E12*-1</f>
        <v>0</v>
      </c>
    </row>
    <row r="27" spans="2:4" ht="16.5" customHeight="1" x14ac:dyDescent="0.2">
      <c r="B27" s="1252" t="s">
        <v>658</v>
      </c>
      <c r="C27" s="1254">
        <f>CFワークシート②!E14*-1</f>
        <v>0</v>
      </c>
    </row>
    <row r="28" spans="2:4" ht="16.5" customHeight="1" x14ac:dyDescent="0.2">
      <c r="B28" s="1262" t="s">
        <v>659</v>
      </c>
      <c r="C28" s="1253">
        <f>CFワークシート②!E18*-1</f>
        <v>0</v>
      </c>
    </row>
    <row r="29" spans="2:4" ht="16.5" customHeight="1" x14ac:dyDescent="0.2">
      <c r="B29" s="1263" t="s">
        <v>660</v>
      </c>
      <c r="C29" s="1254">
        <f>(CFワークシート②!E19+CFワークシート②!D48)*-1</f>
        <v>0</v>
      </c>
    </row>
    <row r="30" spans="2:4" ht="16.5" customHeight="1" x14ac:dyDescent="0.2">
      <c r="B30" s="1263" t="s">
        <v>661</v>
      </c>
      <c r="C30" s="1254">
        <f>CFワークシート②!E20*-1</f>
        <v>0</v>
      </c>
    </row>
    <row r="31" spans="2:4" ht="16.5" customHeight="1" x14ac:dyDescent="0.2">
      <c r="B31" s="1263" t="s">
        <v>662</v>
      </c>
      <c r="C31" s="1254">
        <f>CFワークシート②!E21*-1</f>
        <v>0</v>
      </c>
    </row>
    <row r="32" spans="2:4" ht="16.5" customHeight="1" x14ac:dyDescent="0.2">
      <c r="B32" s="1263" t="s">
        <v>663</v>
      </c>
      <c r="C32" s="1254">
        <f>CFワークシート②!E22*-1</f>
        <v>0</v>
      </c>
    </row>
    <row r="33" spans="2:3" ht="16.5" customHeight="1" x14ac:dyDescent="0.2">
      <c r="B33" s="1263" t="s">
        <v>664</v>
      </c>
      <c r="C33" s="1254">
        <f>CFワークシート②!E23*-1</f>
        <v>0</v>
      </c>
    </row>
    <row r="34" spans="2:3" ht="16.5" customHeight="1" x14ac:dyDescent="0.2">
      <c r="B34" s="1263" t="s">
        <v>665</v>
      </c>
      <c r="C34" s="1264">
        <f>CFワークシート②!E24*-1</f>
        <v>0</v>
      </c>
    </row>
    <row r="35" spans="2:3" ht="16.5" customHeight="1" x14ac:dyDescent="0.2">
      <c r="B35" s="1265" t="s">
        <v>666</v>
      </c>
      <c r="C35" s="1257">
        <f>CFワークシート②!E27*-1</f>
        <v>0</v>
      </c>
    </row>
    <row r="36" spans="2:3" ht="16.5" customHeight="1" thickBot="1" x14ac:dyDescent="0.25">
      <c r="B36" s="1266" t="s">
        <v>667</v>
      </c>
      <c r="C36" s="1267">
        <f>SUM(C26:C35)</f>
        <v>0</v>
      </c>
    </row>
    <row r="37" spans="2:3" ht="16.5" customHeight="1" thickBot="1" x14ac:dyDescent="0.25">
      <c r="B37" s="1268" t="s">
        <v>668</v>
      </c>
      <c r="C37" s="1269">
        <f>C24+C36</f>
        <v>0</v>
      </c>
    </row>
    <row r="38" spans="2:3" ht="16.5" customHeight="1" x14ac:dyDescent="0.2">
      <c r="B38" s="1270" t="s">
        <v>669</v>
      </c>
      <c r="C38" s="1271"/>
    </row>
    <row r="39" spans="2:3" ht="16.5" customHeight="1" x14ac:dyDescent="0.2">
      <c r="B39" s="1248" t="s">
        <v>670</v>
      </c>
      <c r="C39" s="1247">
        <f>CFワークシート②!J11</f>
        <v>0</v>
      </c>
    </row>
    <row r="40" spans="2:3" ht="16.5" customHeight="1" x14ac:dyDescent="0.2">
      <c r="B40" s="1252" t="s">
        <v>671</v>
      </c>
      <c r="C40" s="1254">
        <f>CFワークシート②!J16</f>
        <v>0</v>
      </c>
    </row>
    <row r="41" spans="2:3" ht="16.5" customHeight="1" x14ac:dyDescent="0.2">
      <c r="B41" s="1252" t="s">
        <v>672</v>
      </c>
      <c r="C41" s="1254">
        <f>CFワークシート②!J17</f>
        <v>0</v>
      </c>
    </row>
    <row r="42" spans="2:3" ht="16.5" customHeight="1" x14ac:dyDescent="0.2">
      <c r="B42" s="1252" t="s">
        <v>673</v>
      </c>
      <c r="C42" s="1254">
        <f>CFワークシート②!J22+CFワークシート②!J23</f>
        <v>0</v>
      </c>
    </row>
    <row r="43" spans="2:3" ht="16.5" customHeight="1" x14ac:dyDescent="0.2">
      <c r="B43" s="1252" t="s">
        <v>674</v>
      </c>
      <c r="C43" s="1254">
        <f>CFワークシート②!J25+CFワークシート②!J26</f>
        <v>0</v>
      </c>
    </row>
    <row r="44" spans="2:3" ht="16.5" customHeight="1" x14ac:dyDescent="0.2">
      <c r="B44" s="1256" t="s">
        <v>675</v>
      </c>
      <c r="C44" s="1257">
        <f>CFワークシート②!F59</f>
        <v>0</v>
      </c>
    </row>
    <row r="45" spans="2:3" ht="16.5" customHeight="1" thickBot="1" x14ac:dyDescent="0.25">
      <c r="B45" s="1272" t="s">
        <v>676</v>
      </c>
      <c r="C45" s="1273">
        <f>SUM(C39:C44)</f>
        <v>0</v>
      </c>
    </row>
    <row r="46" spans="2:3" ht="16.5" customHeight="1" x14ac:dyDescent="0.2">
      <c r="B46" s="1274" t="s">
        <v>677</v>
      </c>
      <c r="C46" s="1275">
        <f>C37+C45</f>
        <v>0</v>
      </c>
    </row>
    <row r="47" spans="2:3" ht="16.5" customHeight="1" x14ac:dyDescent="0.2">
      <c r="B47" s="1276" t="s">
        <v>678</v>
      </c>
      <c r="C47" s="1277">
        <f>CFワークシート②!C9</f>
        <v>0</v>
      </c>
    </row>
    <row r="48" spans="2:3" ht="16.5" customHeight="1" thickBot="1" x14ac:dyDescent="0.25">
      <c r="B48" s="1278" t="s">
        <v>679</v>
      </c>
      <c r="C48" s="1279">
        <f>C46+C47</f>
        <v>0</v>
      </c>
    </row>
    <row r="49" spans="2:3" ht="16.5" customHeight="1" thickBot="1" x14ac:dyDescent="0.25">
      <c r="B49" s="1280" t="s">
        <v>680</v>
      </c>
      <c r="C49" s="1281">
        <f>CFワークシート②!D9</f>
        <v>0</v>
      </c>
    </row>
    <row r="50" spans="2:3" ht="16.5" customHeight="1" thickBot="1" x14ac:dyDescent="0.25">
      <c r="B50" s="1111"/>
      <c r="C50" s="1282">
        <f>C48-C49</f>
        <v>0</v>
      </c>
    </row>
    <row r="51" spans="2:3" ht="16.5" customHeight="1" thickTop="1" x14ac:dyDescent="0.2">
      <c r="B51" s="1111"/>
      <c r="C51" s="1283"/>
    </row>
    <row r="52" spans="2:3" ht="18.75" customHeight="1" x14ac:dyDescent="0.2">
      <c r="B52" s="1284" t="s">
        <v>687</v>
      </c>
      <c r="C52" s="1111"/>
    </row>
    <row r="54" spans="2:3" ht="21" customHeight="1" x14ac:dyDescent="0.2">
      <c r="B54" s="2209"/>
      <c r="C54" s="2209"/>
    </row>
  </sheetData>
  <protectedRanges>
    <protectedRange sqref="B5:C5" name="範囲1"/>
  </protectedRanges>
  <mergeCells count="4">
    <mergeCell ref="B1:C1"/>
    <mergeCell ref="B4:C4"/>
    <mergeCell ref="B5:C5"/>
    <mergeCell ref="B54:C54"/>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L66"/>
  <sheetViews>
    <sheetView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10" t="s">
        <v>684</v>
      </c>
      <c r="C2" s="2210"/>
      <c r="D2" s="2210"/>
      <c r="E2" s="2210"/>
      <c r="F2" s="2210"/>
      <c r="G2" s="2210"/>
      <c r="H2" s="2210"/>
      <c r="I2" s="2210"/>
      <c r="J2" s="2210"/>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2" t="str">
        <f>'財務諸表（入力）'!G4</f>
        <v>2021年2月1日～2022年1月31日</v>
      </c>
      <c r="D8" s="1293" t="str">
        <f>'財務諸表（入力）'!J4</f>
        <v>2022年2月1日～2023年1月31日</v>
      </c>
      <c r="E8" s="1125" t="s">
        <v>272</v>
      </c>
      <c r="F8" s="2211" t="s">
        <v>573</v>
      </c>
      <c r="G8" s="2212"/>
      <c r="H8" s="1294" t="str">
        <f>C8</f>
        <v>2021年2月1日～2022年1月31日</v>
      </c>
      <c r="I8" s="1295" t="str">
        <f>D8</f>
        <v>2022年2月1日～2023年1月31日</v>
      </c>
      <c r="J8" s="1126" t="s">
        <v>272</v>
      </c>
      <c r="L8" s="1108" t="s">
        <v>574</v>
      </c>
    </row>
    <row r="9" spans="2:12" s="1118" customFormat="1" ht="21" customHeight="1" x14ac:dyDescent="0.2">
      <c r="B9" s="1127" t="s">
        <v>575</v>
      </c>
      <c r="C9" s="1128">
        <f>'財務諸表（入力）'!G6</f>
        <v>0</v>
      </c>
      <c r="D9" s="1129">
        <f>'財務諸表（入力）'!J6</f>
        <v>0</v>
      </c>
      <c r="E9" s="1130">
        <f t="shared" ref="E9:E28" si="0">D9-C9</f>
        <v>0</v>
      </c>
      <c r="F9" s="2213" t="s">
        <v>501</v>
      </c>
      <c r="G9" s="2214"/>
      <c r="H9" s="1131">
        <f>'財務諸表（入力）'!G51</f>
        <v>0</v>
      </c>
      <c r="I9" s="1132">
        <f>'財務諸表（入力）'!J51</f>
        <v>0</v>
      </c>
      <c r="J9" s="1130">
        <f>I9-H9</f>
        <v>0</v>
      </c>
      <c r="L9" s="1108" t="s">
        <v>576</v>
      </c>
    </row>
    <row r="10" spans="2:12" s="1118" customFormat="1" ht="21" customHeight="1" x14ac:dyDescent="0.2">
      <c r="B10" s="1133" t="s">
        <v>577</v>
      </c>
      <c r="C10" s="1134">
        <f>'財務諸表（入力）'!G8</f>
        <v>0</v>
      </c>
      <c r="D10" s="1135">
        <f>'財務諸表（入力）'!J8</f>
        <v>0</v>
      </c>
      <c r="E10" s="1136">
        <f t="shared" si="0"/>
        <v>0</v>
      </c>
      <c r="F10" s="2215" t="s">
        <v>502</v>
      </c>
      <c r="G10" s="2216"/>
      <c r="H10" s="1137">
        <f>'財務諸表（入力）'!G52</f>
        <v>0</v>
      </c>
      <c r="I10" s="1138">
        <f>'財務諸表（入力）'!J52</f>
        <v>0</v>
      </c>
      <c r="J10" s="1139">
        <f t="shared" ref="J10:J28" si="1">I10-H10</f>
        <v>0</v>
      </c>
      <c r="L10" s="2217"/>
    </row>
    <row r="11" spans="2:12" s="1118" customFormat="1" ht="21" customHeight="1" x14ac:dyDescent="0.2">
      <c r="B11" s="1133" t="s">
        <v>578</v>
      </c>
      <c r="C11" s="1134">
        <f>'財務諸表（入力）'!G9</f>
        <v>0</v>
      </c>
      <c r="D11" s="1135">
        <f>'財務諸表（入力）'!J9</f>
        <v>0</v>
      </c>
      <c r="E11" s="1136">
        <f t="shared" si="0"/>
        <v>0</v>
      </c>
      <c r="F11" s="2215" t="s">
        <v>579</v>
      </c>
      <c r="G11" s="2216"/>
      <c r="H11" s="1137">
        <f>'財務諸表（入力）'!G53</f>
        <v>0</v>
      </c>
      <c r="I11" s="1140">
        <f>'財務諸表（入力）'!J53</f>
        <v>0</v>
      </c>
      <c r="J11" s="1139">
        <f t="shared" si="1"/>
        <v>0</v>
      </c>
      <c r="L11" s="2217"/>
    </row>
    <row r="12" spans="2:12" s="1118" customFormat="1" ht="21" customHeight="1" x14ac:dyDescent="0.2">
      <c r="B12" s="1133" t="s">
        <v>580</v>
      </c>
      <c r="C12" s="1286"/>
      <c r="D12" s="1286"/>
      <c r="E12" s="1136">
        <f t="shared" si="0"/>
        <v>0</v>
      </c>
      <c r="F12" s="2215" t="s">
        <v>581</v>
      </c>
      <c r="G12" s="2216"/>
      <c r="H12" s="1289"/>
      <c r="I12" s="1290"/>
      <c r="J12" s="1139">
        <f t="shared" si="1"/>
        <v>0</v>
      </c>
    </row>
    <row r="13" spans="2:12" s="1118" customFormat="1" ht="21" customHeight="1" x14ac:dyDescent="0.2">
      <c r="B13" s="1133" t="s">
        <v>161</v>
      </c>
      <c r="C13" s="1134">
        <f>'財務諸表（入力）'!G16</f>
        <v>0</v>
      </c>
      <c r="D13" s="1135">
        <f>'財務諸表（入力）'!J16</f>
        <v>0</v>
      </c>
      <c r="E13" s="1136">
        <f t="shared" si="0"/>
        <v>0</v>
      </c>
      <c r="F13" s="2215" t="s">
        <v>582</v>
      </c>
      <c r="G13" s="2216"/>
      <c r="H13" s="1289"/>
      <c r="I13" s="1290"/>
      <c r="J13" s="1139">
        <f t="shared" si="1"/>
        <v>0</v>
      </c>
    </row>
    <row r="14" spans="2:12" s="1118" customFormat="1" ht="21" customHeight="1" thickBot="1" x14ac:dyDescent="0.25">
      <c r="B14" s="1133" t="s">
        <v>583</v>
      </c>
      <c r="C14" s="1286"/>
      <c r="D14" s="1286"/>
      <c r="E14" s="1136">
        <f t="shared" si="0"/>
        <v>0</v>
      </c>
      <c r="F14" s="2218" t="s">
        <v>584</v>
      </c>
      <c r="G14" s="2219"/>
      <c r="H14" s="1141">
        <f>'財務諸表（入力）'!G61-CFワークシート!H9-CFワークシート!H10-CFワークシート!H11-CFワークシート!H12-CFワークシート!H13</f>
        <v>0</v>
      </c>
      <c r="I14" s="1142">
        <f>'財務諸表（入力）'!J61-CFワークシート!I9-CFワークシート!I10-CFワークシート!I11-CFワークシート!I12-CFワークシート!I13</f>
        <v>0</v>
      </c>
      <c r="J14" s="1143">
        <f t="shared" si="1"/>
        <v>0</v>
      </c>
    </row>
    <row r="15" spans="2:12" s="1118" customFormat="1" ht="21" customHeight="1" thickBot="1" x14ac:dyDescent="0.25">
      <c r="B15" s="1133" t="s">
        <v>585</v>
      </c>
      <c r="C15" s="1134">
        <f>'財務諸表（入力）'!G28-CFワークシート!C9-CFワークシート!C10-CFワークシート!C11-CFワークシート!C12-CFワークシート!C13-CFワークシート!C14-CFワークシート!C16</f>
        <v>0</v>
      </c>
      <c r="D15" s="1135">
        <f>'財務諸表（入力）'!J28-CFワークシート!D9-CFワークシート!D10-CFワークシート!D11-CFワークシート!D12-CFワークシート!D13-CFワークシート!D14-D16</f>
        <v>0</v>
      </c>
      <c r="E15" s="1136">
        <f t="shared" si="0"/>
        <v>0</v>
      </c>
      <c r="F15" s="2211" t="s">
        <v>586</v>
      </c>
      <c r="G15" s="2212"/>
      <c r="H15" s="1144">
        <f>SUM(H9:H14)</f>
        <v>0</v>
      </c>
      <c r="I15" s="1145">
        <f>SUM(I9:I14)</f>
        <v>0</v>
      </c>
      <c r="J15" s="1146">
        <f t="shared" si="1"/>
        <v>0</v>
      </c>
    </row>
    <row r="16" spans="2:12" s="1118" customFormat="1" ht="21" customHeight="1" thickBot="1" x14ac:dyDescent="0.25">
      <c r="B16" s="1147" t="s">
        <v>587</v>
      </c>
      <c r="C16" s="1148">
        <f>'財務諸表（入力）'!G25</f>
        <v>0</v>
      </c>
      <c r="D16" s="1149">
        <f>'財務諸表（入力）'!J25</f>
        <v>0</v>
      </c>
      <c r="E16" s="1150">
        <f t="shared" si="0"/>
        <v>0</v>
      </c>
      <c r="F16" s="2213" t="s">
        <v>588</v>
      </c>
      <c r="G16" s="2214"/>
      <c r="H16" s="1131">
        <f>'財務諸表（入力）'!G62</f>
        <v>0</v>
      </c>
      <c r="I16" s="1132">
        <f>'財務諸表（入力）'!J62</f>
        <v>0</v>
      </c>
      <c r="J16" s="1151">
        <f t="shared" si="1"/>
        <v>0</v>
      </c>
    </row>
    <row r="17" spans="2:10" s="1118" customFormat="1" ht="21" customHeight="1" thickBot="1" x14ac:dyDescent="0.25">
      <c r="B17" s="1124" t="s">
        <v>589</v>
      </c>
      <c r="C17" s="1152">
        <f>SUM(C9:C16)</f>
        <v>0</v>
      </c>
      <c r="D17" s="1152">
        <f>SUM(D9:D16)</f>
        <v>0</v>
      </c>
      <c r="E17" s="1153">
        <f t="shared" si="0"/>
        <v>0</v>
      </c>
      <c r="F17" s="2215" t="s">
        <v>505</v>
      </c>
      <c r="G17" s="2216"/>
      <c r="H17" s="1137">
        <f>'財務諸表（入力）'!G63</f>
        <v>0</v>
      </c>
      <c r="I17" s="1140">
        <f>'財務諸表（入力）'!J63</f>
        <v>0</v>
      </c>
      <c r="J17" s="1139">
        <f t="shared" si="1"/>
        <v>0</v>
      </c>
    </row>
    <row r="18" spans="2:10" s="1118" customFormat="1" ht="21" customHeight="1" x14ac:dyDescent="0.2">
      <c r="B18" s="1127" t="s">
        <v>590</v>
      </c>
      <c r="C18" s="1154">
        <f>'財務諸表（入力）'!G34</f>
        <v>0</v>
      </c>
      <c r="D18" s="1129">
        <f>'財務諸表（入力）'!J34</f>
        <v>0</v>
      </c>
      <c r="E18" s="1130">
        <f t="shared" si="0"/>
        <v>0</v>
      </c>
      <c r="F18" s="2215" t="s">
        <v>582</v>
      </c>
      <c r="G18" s="2216"/>
      <c r="H18" s="1289"/>
      <c r="I18" s="1290"/>
      <c r="J18" s="1139">
        <f t="shared" si="1"/>
        <v>0</v>
      </c>
    </row>
    <row r="19" spans="2:10" s="1118" customFormat="1" ht="21" customHeight="1" thickBot="1" x14ac:dyDescent="0.25">
      <c r="B19" s="1133" t="s">
        <v>591</v>
      </c>
      <c r="C19" s="1155">
        <f>'財務諸表（入力）'!G37-'財務諸表（入力）'!G34-'財務諸表（入力）'!G35</f>
        <v>0</v>
      </c>
      <c r="D19" s="1135">
        <f>'財務諸表（入力）'!J37-'財務諸表（入力）'!J34-'財務諸表（入力）'!J35</f>
        <v>0</v>
      </c>
      <c r="E19" s="1136">
        <f t="shared" si="0"/>
        <v>0</v>
      </c>
      <c r="F19" s="2218" t="s">
        <v>592</v>
      </c>
      <c r="G19" s="2219"/>
      <c r="H19" s="1141">
        <f>'財務諸表（入力）'!G69-CFワークシート!H16-CFワークシート!H17-CFワークシート!H18</f>
        <v>0</v>
      </c>
      <c r="I19" s="1142">
        <f>'財務諸表（入力）'!J69-CFワークシート!I16-CFワークシート!I17-CFワークシート!I18</f>
        <v>0</v>
      </c>
      <c r="J19" s="1143">
        <f t="shared" si="1"/>
        <v>0</v>
      </c>
    </row>
    <row r="20" spans="2:10" s="1118" customFormat="1" ht="21" customHeight="1" thickBot="1" x14ac:dyDescent="0.25">
      <c r="B20" s="1133" t="s">
        <v>593</v>
      </c>
      <c r="C20" s="1155">
        <f>'財務諸表（入力）'!G35</f>
        <v>0</v>
      </c>
      <c r="D20" s="1135">
        <f>'財務諸表（入力）'!J35</f>
        <v>0</v>
      </c>
      <c r="E20" s="1136">
        <f t="shared" si="0"/>
        <v>0</v>
      </c>
      <c r="F20" s="2211" t="s">
        <v>594</v>
      </c>
      <c r="G20" s="2212"/>
      <c r="H20" s="1144">
        <f>SUM(H16:H19)</f>
        <v>0</v>
      </c>
      <c r="I20" s="1145">
        <f>SUM(I16:I19)</f>
        <v>0</v>
      </c>
      <c r="J20" s="1146">
        <f t="shared" si="1"/>
        <v>0</v>
      </c>
    </row>
    <row r="21" spans="2:10" s="1118" customFormat="1" ht="21" customHeight="1" thickBot="1" x14ac:dyDescent="0.25">
      <c r="B21" s="1133" t="s">
        <v>595</v>
      </c>
      <c r="C21" s="1155">
        <f>'財務諸表（入力）'!G38</f>
        <v>0</v>
      </c>
      <c r="D21" s="1135">
        <f>'財務諸表（入力）'!J38</f>
        <v>0</v>
      </c>
      <c r="E21" s="1136">
        <f t="shared" si="0"/>
        <v>0</v>
      </c>
      <c r="F21" s="2211" t="s">
        <v>596</v>
      </c>
      <c r="G21" s="2212"/>
      <c r="H21" s="1144">
        <f>H15+H20</f>
        <v>0</v>
      </c>
      <c r="I21" s="1145">
        <f>I15+I20</f>
        <v>0</v>
      </c>
      <c r="J21" s="1146">
        <f t="shared" si="1"/>
        <v>0</v>
      </c>
    </row>
    <row r="22" spans="2:10" s="1118" customFormat="1" ht="21" customHeight="1" x14ac:dyDescent="0.2">
      <c r="B22" s="1298" t="s">
        <v>681</v>
      </c>
      <c r="C22" s="1287"/>
      <c r="D22" s="1288"/>
      <c r="E22" s="1136">
        <f t="shared" si="0"/>
        <v>0</v>
      </c>
      <c r="F22" s="2213" t="s">
        <v>151</v>
      </c>
      <c r="G22" s="2214"/>
      <c r="H22" s="1131">
        <f>'財務諸表（入力）'!G71</f>
        <v>0</v>
      </c>
      <c r="I22" s="1132">
        <f>'財務諸表（入力）'!J71</f>
        <v>0</v>
      </c>
      <c r="J22" s="1151">
        <f t="shared" si="1"/>
        <v>0</v>
      </c>
    </row>
    <row r="23" spans="2:10" s="1118" customFormat="1" ht="21" customHeight="1" x14ac:dyDescent="0.2">
      <c r="B23" s="1133" t="s">
        <v>597</v>
      </c>
      <c r="C23" s="1287"/>
      <c r="D23" s="1288"/>
      <c r="E23" s="1136">
        <f t="shared" si="0"/>
        <v>0</v>
      </c>
      <c r="F23" s="2215" t="s">
        <v>598</v>
      </c>
      <c r="G23" s="2216"/>
      <c r="H23" s="1137">
        <f>'財務諸表（入力）'!G72</f>
        <v>0</v>
      </c>
      <c r="I23" s="1140">
        <f>'財務諸表（入力）'!J72</f>
        <v>0</v>
      </c>
      <c r="J23" s="1139">
        <f t="shared" si="1"/>
        <v>0</v>
      </c>
    </row>
    <row r="24" spans="2:10" s="1118" customFormat="1" ht="21" customHeight="1" x14ac:dyDescent="0.2">
      <c r="B24" s="1133" t="s">
        <v>599</v>
      </c>
      <c r="C24" s="1155">
        <f>'財務諸表（入力）'!G47-CFワークシート!C22-CFワークシート!C23-CFワークシート!C25</f>
        <v>0</v>
      </c>
      <c r="D24" s="1135">
        <f>'財務諸表（入力）'!J47-CFワークシート!D25-CFワークシート!D22-CFワークシート!D23</f>
        <v>0</v>
      </c>
      <c r="E24" s="1136">
        <f t="shared" si="0"/>
        <v>0</v>
      </c>
      <c r="F24" s="2215" t="s">
        <v>600</v>
      </c>
      <c r="G24" s="2216"/>
      <c r="H24" s="1137">
        <f>'財務諸表（入力）'!G73</f>
        <v>0</v>
      </c>
      <c r="I24" s="1140">
        <f>'財務諸表（入力）'!J73</f>
        <v>0</v>
      </c>
      <c r="J24" s="1139">
        <f t="shared" si="1"/>
        <v>0</v>
      </c>
    </row>
    <row r="25" spans="2:10" s="1118" customFormat="1" ht="21" customHeight="1" thickBot="1" x14ac:dyDescent="0.25">
      <c r="B25" s="1147" t="s">
        <v>110</v>
      </c>
      <c r="C25" s="1156">
        <f>'財務諸表（入力）'!G45</f>
        <v>0</v>
      </c>
      <c r="D25" s="1149">
        <f>'財務諸表（入力）'!J45</f>
        <v>0</v>
      </c>
      <c r="E25" s="1150">
        <f t="shared" si="0"/>
        <v>0</v>
      </c>
      <c r="F25" s="2215" t="s">
        <v>601</v>
      </c>
      <c r="G25" s="2216"/>
      <c r="H25" s="1137">
        <f>'財務諸表（入力）'!G77</f>
        <v>0</v>
      </c>
      <c r="I25" s="1140">
        <f>'財務諸表（入力）'!J77</f>
        <v>0</v>
      </c>
      <c r="J25" s="1139">
        <f t="shared" si="1"/>
        <v>0</v>
      </c>
    </row>
    <row r="26" spans="2:10" s="1118" customFormat="1" ht="21" customHeight="1" thickBot="1" x14ac:dyDescent="0.25">
      <c r="B26" s="1124" t="s">
        <v>602</v>
      </c>
      <c r="C26" s="1157">
        <f>SUM(C18:C25)</f>
        <v>0</v>
      </c>
      <c r="D26" s="1152">
        <f>SUM(D18:D25)</f>
        <v>0</v>
      </c>
      <c r="E26" s="1153">
        <f t="shared" si="0"/>
        <v>0</v>
      </c>
      <c r="F26" s="2218" t="s">
        <v>603</v>
      </c>
      <c r="G26" s="2219"/>
      <c r="H26" s="1299"/>
      <c r="I26" s="1300"/>
      <c r="J26" s="1143">
        <f t="shared" si="1"/>
        <v>0</v>
      </c>
    </row>
    <row r="27" spans="2:10" s="1118" customFormat="1" ht="21" customHeight="1" thickBot="1" x14ac:dyDescent="0.25">
      <c r="B27" s="1158" t="s">
        <v>604</v>
      </c>
      <c r="C27" s="1159">
        <f>'財務諸表（入力）'!G48</f>
        <v>0</v>
      </c>
      <c r="D27" s="1160">
        <f>'財務諸表（入力）'!J48</f>
        <v>0</v>
      </c>
      <c r="E27" s="1161">
        <f t="shared" si="0"/>
        <v>0</v>
      </c>
      <c r="F27" s="2211" t="s">
        <v>213</v>
      </c>
      <c r="G27" s="2212"/>
      <c r="H27" s="1144">
        <f>SUM(H22:H26)</f>
        <v>0</v>
      </c>
      <c r="I27" s="1145">
        <f>SUM(I22:I26)</f>
        <v>0</v>
      </c>
      <c r="J27" s="1146">
        <f t="shared" si="1"/>
        <v>0</v>
      </c>
    </row>
    <row r="28" spans="2:10" s="1118" customFormat="1" ht="21" customHeight="1" thickBot="1" x14ac:dyDescent="0.25">
      <c r="B28" s="1124" t="s">
        <v>605</v>
      </c>
      <c r="C28" s="1152">
        <f>C17+C26+C27</f>
        <v>0</v>
      </c>
      <c r="D28" s="1152">
        <f>D17+D26+D27</f>
        <v>0</v>
      </c>
      <c r="E28" s="1153">
        <f t="shared" si="0"/>
        <v>0</v>
      </c>
      <c r="F28" s="2211" t="s">
        <v>606</v>
      </c>
      <c r="G28" s="2212"/>
      <c r="H28" s="1144">
        <f>H21+H27</f>
        <v>0</v>
      </c>
      <c r="I28" s="1145">
        <f>I21+I27</f>
        <v>0</v>
      </c>
      <c r="J28" s="1146">
        <f t="shared" si="1"/>
        <v>0</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6" t="str">
        <f>C8</f>
        <v>2021年2月1日～2022年1月31日</v>
      </c>
      <c r="D31" s="1297" t="str">
        <f>D8</f>
        <v>2022年2月1日～2023年1月31日</v>
      </c>
      <c r="E31" s="1126" t="s">
        <v>272</v>
      </c>
      <c r="F31" s="1120"/>
      <c r="G31" s="1120"/>
      <c r="H31" s="1120"/>
      <c r="I31" s="1120"/>
      <c r="J31" s="1120"/>
    </row>
    <row r="32" spans="2:10" s="1118" customFormat="1" ht="21" customHeight="1" x14ac:dyDescent="0.2">
      <c r="B32" s="1172" t="s">
        <v>157</v>
      </c>
      <c r="C32" s="1154">
        <f>'財務諸表（入力）'!G129</f>
        <v>0</v>
      </c>
      <c r="D32" s="1173">
        <f>'財務諸表（入力）'!J129</f>
        <v>0</v>
      </c>
      <c r="E32" s="1174">
        <f t="shared" ref="E32:E44" si="2">D32-C32</f>
        <v>0</v>
      </c>
      <c r="F32" s="1120"/>
      <c r="G32" s="1120"/>
      <c r="H32" s="1120"/>
      <c r="I32" s="1120"/>
      <c r="J32" s="1120"/>
    </row>
    <row r="33" spans="2:10" s="1118" customFormat="1" ht="21" customHeight="1" thickBot="1" x14ac:dyDescent="0.25">
      <c r="B33" s="1175" t="s">
        <v>381</v>
      </c>
      <c r="C33" s="1156">
        <f>'財務諸表（入力）'!G136</f>
        <v>0</v>
      </c>
      <c r="D33" s="1176">
        <f>'財務諸表（入力）'!J136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'財務諸表（入力）'!G156</f>
        <v>0</v>
      </c>
      <c r="D35" s="1181">
        <f>'財務諸表（入力）'!J156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'財務諸表（入力）'!G162</f>
        <v>0</v>
      </c>
      <c r="D37" s="1183">
        <f>'財務諸表（入力）'!J162</f>
        <v>0</v>
      </c>
      <c r="E37" s="1174">
        <f t="shared" si="2"/>
        <v>0</v>
      </c>
      <c r="F37" s="1120"/>
      <c r="G37" s="1120"/>
      <c r="H37" s="1120"/>
      <c r="I37" s="1120"/>
      <c r="J37" s="1120"/>
    </row>
    <row r="38" spans="2:10" s="1118" customFormat="1" ht="21" customHeight="1" thickBot="1" x14ac:dyDescent="0.25">
      <c r="B38" s="1175" t="s">
        <v>487</v>
      </c>
      <c r="C38" s="1156">
        <f>'財務諸表（入力）'!G165</f>
        <v>0</v>
      </c>
      <c r="D38" s="1176">
        <f>'財務諸表（入力）'!J165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'財務諸表（入力）'!G167</f>
        <v>0</v>
      </c>
      <c r="D40" s="1183">
        <f>'財務諸表（入力）'!J167</f>
        <v>0</v>
      </c>
      <c r="E40" s="1174">
        <f t="shared" si="2"/>
        <v>0</v>
      </c>
      <c r="F40" s="1184" t="s">
        <v>614</v>
      </c>
      <c r="G40" s="1184"/>
      <c r="H40" s="1120"/>
      <c r="I40" s="1120"/>
      <c r="J40" s="1120"/>
    </row>
    <row r="41" spans="2:10" s="1118" customFormat="1" ht="21" customHeight="1" thickBot="1" x14ac:dyDescent="0.25">
      <c r="B41" s="1186" t="s">
        <v>510</v>
      </c>
      <c r="C41" s="1156">
        <f>'財務諸表（入力）'!G168</f>
        <v>0</v>
      </c>
      <c r="D41" s="1176">
        <f>'財務諸表（入力）'!J168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'財務諸表（入力）'!G170</f>
        <v>0</v>
      </c>
      <c r="D43" s="1181">
        <f>'財務諸表（入力）'!J170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2021年2月1日～2022年1月31日</v>
      </c>
      <c r="D47" s="1171" t="str">
        <f>D8</f>
        <v>2022年2月1日～2023年1月31日</v>
      </c>
      <c r="E47" s="1126" t="s">
        <v>272</v>
      </c>
      <c r="F47" s="1184"/>
      <c r="G47" s="1184"/>
      <c r="H47" s="1120"/>
      <c r="I47" s="1120"/>
      <c r="J47" s="1120"/>
    </row>
    <row r="48" spans="2:10" s="1118" customFormat="1" ht="21" customHeight="1" x14ac:dyDescent="0.2">
      <c r="B48" s="1194" t="s">
        <v>443</v>
      </c>
      <c r="C48" s="1195">
        <f>'財務諸表（入力）'!G182</f>
        <v>0</v>
      </c>
      <c r="D48" s="1196">
        <f>'財務諸表（入力）'!J182</f>
        <v>0</v>
      </c>
      <c r="E48" s="1197">
        <f>+D48-C48</f>
        <v>0</v>
      </c>
      <c r="F48" s="1198"/>
      <c r="G48" s="1198"/>
      <c r="H48" s="1198"/>
      <c r="I48" s="1198"/>
      <c r="J48" s="1120"/>
    </row>
    <row r="49" spans="2:10" s="1118" customFormat="1" ht="21" customHeight="1" thickBot="1" x14ac:dyDescent="0.25">
      <c r="B49" s="1199" t="s">
        <v>306</v>
      </c>
      <c r="C49" s="1200">
        <f>'財務諸表（入力）'!G163</f>
        <v>0</v>
      </c>
      <c r="D49" s="1201">
        <f>'財務諸表（入力）'!J163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34" t="s">
        <v>573</v>
      </c>
      <c r="C52" s="2237" t="s">
        <v>621</v>
      </c>
      <c r="D52" s="2237"/>
      <c r="E52" s="2237"/>
      <c r="F52" s="2237"/>
      <c r="G52" s="2237"/>
      <c r="H52" s="2238"/>
      <c r="I52" s="2221" t="s">
        <v>603</v>
      </c>
      <c r="J52" s="2224" t="s">
        <v>213</v>
      </c>
    </row>
    <row r="53" spans="2:10" s="1118" customFormat="1" ht="19.5" customHeight="1" x14ac:dyDescent="0.2">
      <c r="B53" s="2235"/>
      <c r="C53" s="2227" t="s">
        <v>151</v>
      </c>
      <c r="D53" s="2227" t="s">
        <v>150</v>
      </c>
      <c r="E53" s="2229" t="s">
        <v>152</v>
      </c>
      <c r="F53" s="2230"/>
      <c r="G53" s="2231" t="s">
        <v>601</v>
      </c>
      <c r="H53" s="2232" t="s">
        <v>622</v>
      </c>
      <c r="I53" s="2222"/>
      <c r="J53" s="2225"/>
    </row>
    <row r="54" spans="2:10" s="1118" customFormat="1" ht="32.25" customHeight="1" thickBot="1" x14ac:dyDescent="0.25">
      <c r="B54" s="2236"/>
      <c r="C54" s="2228"/>
      <c r="D54" s="2228"/>
      <c r="E54" s="1204" t="s">
        <v>623</v>
      </c>
      <c r="F54" s="1205" t="s">
        <v>624</v>
      </c>
      <c r="G54" s="2223"/>
      <c r="H54" s="2233"/>
      <c r="I54" s="2223"/>
      <c r="J54" s="2226"/>
    </row>
    <row r="55" spans="2:10" s="1206" customFormat="1" ht="21" customHeight="1" x14ac:dyDescent="0.2">
      <c r="B55" s="1207" t="s">
        <v>625</v>
      </c>
      <c r="C55" s="1208">
        <f>H22</f>
        <v>0</v>
      </c>
      <c r="D55" s="1209">
        <f>H23</f>
        <v>0</v>
      </c>
      <c r="E55" s="1210">
        <f>'財務諸表（入力）'!G74</f>
        <v>0</v>
      </c>
      <c r="F55" s="1211">
        <f>'財務諸表（入力）'!G75</f>
        <v>0</v>
      </c>
      <c r="G55" s="1212">
        <f>H25</f>
        <v>0</v>
      </c>
      <c r="H55" s="1213">
        <f t="shared" ref="H55:H63" si="3">SUM(C55:G55)</f>
        <v>0</v>
      </c>
      <c r="I55" s="1209">
        <f>H26</f>
        <v>0</v>
      </c>
      <c r="J55" s="1214">
        <f>H55+I55</f>
        <v>0</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5"/>
      <c r="F57" s="1219">
        <f>E57*-1</f>
        <v>0</v>
      </c>
      <c r="G57" s="1217"/>
      <c r="H57" s="1223">
        <f t="shared" si="3"/>
        <v>0</v>
      </c>
      <c r="I57" s="1217"/>
      <c r="J57" s="1221">
        <f t="shared" si="4"/>
        <v>0</v>
      </c>
    </row>
    <row r="58" spans="2:10" s="1206" customFormat="1" ht="21" customHeight="1" x14ac:dyDescent="0.2">
      <c r="B58" s="1215" t="s">
        <v>628</v>
      </c>
      <c r="C58" s="1216"/>
      <c r="D58" s="1217"/>
      <c r="E58" s="1285"/>
      <c r="F58" s="1219">
        <f>E58*-1</f>
        <v>0</v>
      </c>
      <c r="G58" s="1217"/>
      <c r="H58" s="1224">
        <f t="shared" si="3"/>
        <v>0</v>
      </c>
      <c r="I58" s="1217"/>
      <c r="J58" s="1221">
        <f t="shared" si="4"/>
        <v>0</v>
      </c>
    </row>
    <row r="59" spans="2:10" s="1206" customFormat="1" ht="21" customHeight="1" x14ac:dyDescent="0.2">
      <c r="B59" s="1215" t="s">
        <v>629</v>
      </c>
      <c r="C59" s="1216"/>
      <c r="D59" s="1217"/>
      <c r="E59" s="1218"/>
      <c r="F59" s="1291"/>
      <c r="G59" s="1217"/>
      <c r="H59" s="1224">
        <f t="shared" si="3"/>
        <v>0</v>
      </c>
      <c r="I59" s="1217"/>
      <c r="J59" s="1221">
        <f t="shared" si="4"/>
        <v>0</v>
      </c>
    </row>
    <row r="60" spans="2:10" s="1206" customFormat="1" ht="21" customHeight="1" x14ac:dyDescent="0.2">
      <c r="B60" s="1215" t="s">
        <v>630</v>
      </c>
      <c r="C60" s="1216"/>
      <c r="D60" s="1217"/>
      <c r="E60" s="1218"/>
      <c r="F60" s="1291"/>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5"/>
      <c r="F63" s="1291"/>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0</v>
      </c>
      <c r="D65" s="1230">
        <f>D55+D64</f>
        <v>0</v>
      </c>
      <c r="E65" s="1229">
        <f>E55+E64</f>
        <v>0</v>
      </c>
      <c r="F65" s="1230">
        <f>F55+F64</f>
        <v>0</v>
      </c>
      <c r="G65" s="1231">
        <f>+I25</f>
        <v>0</v>
      </c>
      <c r="H65" s="1230">
        <f>H55+H64</f>
        <v>0</v>
      </c>
      <c r="I65" s="1230">
        <f>+I26</f>
        <v>0</v>
      </c>
      <c r="J65" s="1232">
        <f>J55+J64</f>
        <v>0</v>
      </c>
    </row>
    <row r="66" spans="2:10" ht="31.5" customHeight="1" x14ac:dyDescent="0.2">
      <c r="B66" s="2220" t="s">
        <v>689</v>
      </c>
      <c r="C66" s="2220"/>
      <c r="D66" s="2220"/>
      <c r="E66" s="2220"/>
      <c r="F66" s="2220"/>
      <c r="G66" s="2220"/>
      <c r="H66" s="2220"/>
      <c r="I66" s="2220"/>
      <c r="J66" s="2220"/>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66:J66"/>
    <mergeCell ref="I52:I54"/>
    <mergeCell ref="J52:J54"/>
    <mergeCell ref="C53:C54"/>
    <mergeCell ref="D53:D54"/>
    <mergeCell ref="E53:F53"/>
    <mergeCell ref="G53:G54"/>
    <mergeCell ref="H53:H54"/>
    <mergeCell ref="B52:B54"/>
    <mergeCell ref="C52:H52"/>
    <mergeCell ref="F24:G24"/>
    <mergeCell ref="F25:G25"/>
    <mergeCell ref="F26:G26"/>
    <mergeCell ref="F27:G27"/>
    <mergeCell ref="F28:G28"/>
    <mergeCell ref="F23:G23"/>
    <mergeCell ref="F12:G12"/>
    <mergeCell ref="F13:G13"/>
    <mergeCell ref="F14:G14"/>
    <mergeCell ref="F15:G15"/>
    <mergeCell ref="F16:G16"/>
    <mergeCell ref="F17:G17"/>
    <mergeCell ref="F18:G18"/>
    <mergeCell ref="F19:G19"/>
    <mergeCell ref="F20:G20"/>
    <mergeCell ref="F21:G21"/>
    <mergeCell ref="F22:G22"/>
    <mergeCell ref="B2:J2"/>
    <mergeCell ref="F8:G8"/>
    <mergeCell ref="F9:G9"/>
    <mergeCell ref="F10:G10"/>
    <mergeCell ref="L10:L11"/>
    <mergeCell ref="F11:G11"/>
  </mergeCells>
  <phoneticPr fontId="2"/>
  <dataValidations count="2">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900-000000000000}">
      <formula1>$L$7:$L$9</formula1>
    </dataValidation>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900-000001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L66"/>
  <sheetViews>
    <sheetView topLeftCell="A28"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10" t="s">
        <v>685</v>
      </c>
      <c r="C2" s="2210"/>
      <c r="D2" s="2210"/>
      <c r="E2" s="2210"/>
      <c r="F2" s="2210"/>
      <c r="G2" s="2210"/>
      <c r="H2" s="2210"/>
      <c r="I2" s="2210"/>
      <c r="J2" s="2210"/>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2" t="str">
        <f>'財務諸表（入力）'!E4</f>
        <v>2020年2月1日～
2021年1月31日</v>
      </c>
      <c r="D8" s="1293" t="str">
        <f>'財務諸表（入力）'!G4</f>
        <v>2021年2月1日～2022年1月31日</v>
      </c>
      <c r="E8" s="1125" t="s">
        <v>272</v>
      </c>
      <c r="F8" s="2211" t="s">
        <v>573</v>
      </c>
      <c r="G8" s="2212"/>
      <c r="H8" s="1294" t="str">
        <f>C8</f>
        <v>2020年2月1日～
2021年1月31日</v>
      </c>
      <c r="I8" s="1295" t="str">
        <f>D8</f>
        <v>2021年2月1日～2022年1月31日</v>
      </c>
      <c r="J8" s="1126" t="s">
        <v>272</v>
      </c>
      <c r="L8" s="1108" t="s">
        <v>574</v>
      </c>
    </row>
    <row r="9" spans="2:12" s="1118" customFormat="1" ht="21" customHeight="1" x14ac:dyDescent="0.2">
      <c r="B9" s="1127" t="s">
        <v>575</v>
      </c>
      <c r="C9" s="1128">
        <f>'財務諸表（入力）'!E6</f>
        <v>0</v>
      </c>
      <c r="D9" s="1129">
        <f>'財務諸表（入力）'!G6</f>
        <v>0</v>
      </c>
      <c r="E9" s="1130">
        <f t="shared" ref="E9:E28" si="0">D9-C9</f>
        <v>0</v>
      </c>
      <c r="F9" s="2213" t="s">
        <v>501</v>
      </c>
      <c r="G9" s="2214"/>
      <c r="H9" s="1131">
        <f>'財務諸表（入力）'!E51</f>
        <v>0</v>
      </c>
      <c r="I9" s="1132">
        <f>'財務諸表（入力）'!G51</f>
        <v>0</v>
      </c>
      <c r="J9" s="1130">
        <f>I9-H9</f>
        <v>0</v>
      </c>
      <c r="L9" s="1108" t="s">
        <v>576</v>
      </c>
    </row>
    <row r="10" spans="2:12" s="1118" customFormat="1" ht="21" customHeight="1" x14ac:dyDescent="0.2">
      <c r="B10" s="1133" t="s">
        <v>577</v>
      </c>
      <c r="C10" s="1134">
        <f>'財務諸表（入力）'!E8</f>
        <v>0</v>
      </c>
      <c r="D10" s="1135">
        <f>'財務諸表（入力）'!G8</f>
        <v>0</v>
      </c>
      <c r="E10" s="1136">
        <f t="shared" si="0"/>
        <v>0</v>
      </c>
      <c r="F10" s="2215" t="s">
        <v>502</v>
      </c>
      <c r="G10" s="2216"/>
      <c r="H10" s="1137">
        <f>'財務諸表（入力）'!E52</f>
        <v>0</v>
      </c>
      <c r="I10" s="1138">
        <f>'財務諸表（入力）'!G52</f>
        <v>0</v>
      </c>
      <c r="J10" s="1139">
        <f t="shared" ref="J10:J28" si="1">I10-H10</f>
        <v>0</v>
      </c>
      <c r="L10" s="2217"/>
    </row>
    <row r="11" spans="2:12" s="1118" customFormat="1" ht="21" customHeight="1" x14ac:dyDescent="0.2">
      <c r="B11" s="1133" t="s">
        <v>578</v>
      </c>
      <c r="C11" s="1134">
        <f>'財務諸表（入力）'!E9</f>
        <v>0</v>
      </c>
      <c r="D11" s="1135">
        <f>'財務諸表（入力）'!G9</f>
        <v>0</v>
      </c>
      <c r="E11" s="1136">
        <f t="shared" si="0"/>
        <v>0</v>
      </c>
      <c r="F11" s="2215" t="s">
        <v>579</v>
      </c>
      <c r="G11" s="2216"/>
      <c r="H11" s="1137">
        <f>'財務諸表（入力）'!E53</f>
        <v>0</v>
      </c>
      <c r="I11" s="1140">
        <f>'財務諸表（入力）'!G53</f>
        <v>0</v>
      </c>
      <c r="J11" s="1139">
        <f t="shared" si="1"/>
        <v>0</v>
      </c>
      <c r="L11" s="2217"/>
    </row>
    <row r="12" spans="2:12" s="1118" customFormat="1" ht="21" customHeight="1" x14ac:dyDescent="0.2">
      <c r="B12" s="1133" t="s">
        <v>580</v>
      </c>
      <c r="C12" s="1286"/>
      <c r="D12" s="1286"/>
      <c r="E12" s="1136">
        <f t="shared" si="0"/>
        <v>0</v>
      </c>
      <c r="F12" s="2215" t="s">
        <v>581</v>
      </c>
      <c r="G12" s="2216"/>
      <c r="H12" s="1289"/>
      <c r="I12" s="1290"/>
      <c r="J12" s="1139">
        <f t="shared" si="1"/>
        <v>0</v>
      </c>
    </row>
    <row r="13" spans="2:12" s="1118" customFormat="1" ht="21" customHeight="1" x14ac:dyDescent="0.2">
      <c r="B13" s="1133" t="s">
        <v>161</v>
      </c>
      <c r="C13" s="1134">
        <f>'財務諸表（入力）'!E16</f>
        <v>0</v>
      </c>
      <c r="D13" s="1135">
        <f>'財務諸表（入力）'!G16</f>
        <v>0</v>
      </c>
      <c r="E13" s="1136">
        <f t="shared" si="0"/>
        <v>0</v>
      </c>
      <c r="F13" s="2215" t="s">
        <v>582</v>
      </c>
      <c r="G13" s="2216"/>
      <c r="H13" s="1289"/>
      <c r="I13" s="1290"/>
      <c r="J13" s="1139">
        <f t="shared" si="1"/>
        <v>0</v>
      </c>
    </row>
    <row r="14" spans="2:12" s="1118" customFormat="1" ht="21" customHeight="1" thickBot="1" x14ac:dyDescent="0.25">
      <c r="B14" s="1133" t="s">
        <v>583</v>
      </c>
      <c r="C14" s="1286"/>
      <c r="D14" s="1286"/>
      <c r="E14" s="1136">
        <f t="shared" si="0"/>
        <v>0</v>
      </c>
      <c r="F14" s="2218" t="s">
        <v>584</v>
      </c>
      <c r="G14" s="2219"/>
      <c r="H14" s="1141">
        <f>'財務諸表（入力）'!E61-CFワークシート②!H9-CFワークシート②!H10-CFワークシート②!H11-CFワークシート②!H12-CFワークシート②!H13</f>
        <v>0</v>
      </c>
      <c r="I14" s="1142">
        <f>'財務諸表（入力）'!G61-CFワークシート②!I9-CFワークシート②!I10-CFワークシート②!I11-CFワークシート②!I12-CFワークシート②!I13</f>
        <v>0</v>
      </c>
      <c r="J14" s="1143">
        <f t="shared" si="1"/>
        <v>0</v>
      </c>
    </row>
    <row r="15" spans="2:12" s="1118" customFormat="1" ht="21" customHeight="1" thickBot="1" x14ac:dyDescent="0.25">
      <c r="B15" s="1133" t="s">
        <v>585</v>
      </c>
      <c r="C15" s="1134">
        <f>'財務諸表（入力）'!E28-CFワークシート②!C9-CFワークシート②!C10-CFワークシート②!C11-CFワークシート②!C12-CFワークシート②!C13-CFワークシート②!C14-CFワークシート②!C16</f>
        <v>0</v>
      </c>
      <c r="D15" s="1135">
        <f>'財務諸表（入力）'!G28-CFワークシート②!D9-CFワークシート②!D10-CFワークシート②!D11-CFワークシート②!D12-CFワークシート②!D13-CFワークシート②!D14-CFワークシート②!D16</f>
        <v>0</v>
      </c>
      <c r="E15" s="1136">
        <f t="shared" si="0"/>
        <v>0</v>
      </c>
      <c r="F15" s="2211" t="s">
        <v>586</v>
      </c>
      <c r="G15" s="2212"/>
      <c r="H15" s="1144">
        <f>SUM(H9:H14)</f>
        <v>0</v>
      </c>
      <c r="I15" s="1145">
        <f>SUM(I9:I14)</f>
        <v>0</v>
      </c>
      <c r="J15" s="1146">
        <f t="shared" si="1"/>
        <v>0</v>
      </c>
    </row>
    <row r="16" spans="2:12" s="1118" customFormat="1" ht="21" customHeight="1" thickBot="1" x14ac:dyDescent="0.25">
      <c r="B16" s="1147" t="s">
        <v>587</v>
      </c>
      <c r="C16" s="1148">
        <f>'財務諸表（入力）'!E25</f>
        <v>0</v>
      </c>
      <c r="D16" s="1149">
        <f>'財務諸表（入力）'!G25</f>
        <v>0</v>
      </c>
      <c r="E16" s="1150">
        <f t="shared" si="0"/>
        <v>0</v>
      </c>
      <c r="F16" s="2213" t="s">
        <v>588</v>
      </c>
      <c r="G16" s="2214"/>
      <c r="H16" s="1131">
        <f>'財務諸表（入力）'!E62</f>
        <v>0</v>
      </c>
      <c r="I16" s="1132">
        <f>'財務諸表（入力）'!G62</f>
        <v>0</v>
      </c>
      <c r="J16" s="1151">
        <f t="shared" si="1"/>
        <v>0</v>
      </c>
    </row>
    <row r="17" spans="2:10" s="1118" customFormat="1" ht="21" customHeight="1" thickBot="1" x14ac:dyDescent="0.25">
      <c r="B17" s="1124" t="s">
        <v>589</v>
      </c>
      <c r="C17" s="1152">
        <f>SUM(C9:C16)</f>
        <v>0</v>
      </c>
      <c r="D17" s="1152">
        <f>SUM(D9:D16)</f>
        <v>0</v>
      </c>
      <c r="E17" s="1153">
        <f t="shared" si="0"/>
        <v>0</v>
      </c>
      <c r="F17" s="2215" t="s">
        <v>505</v>
      </c>
      <c r="G17" s="2216"/>
      <c r="H17" s="1137">
        <f>'財務諸表（入力）'!E63</f>
        <v>0</v>
      </c>
      <c r="I17" s="1140">
        <f>'財務諸表（入力）'!G63</f>
        <v>0</v>
      </c>
      <c r="J17" s="1139">
        <f t="shared" si="1"/>
        <v>0</v>
      </c>
    </row>
    <row r="18" spans="2:10" s="1118" customFormat="1" ht="21" customHeight="1" x14ac:dyDescent="0.2">
      <c r="B18" s="1127" t="s">
        <v>590</v>
      </c>
      <c r="C18" s="1154">
        <f>'財務諸表（入力）'!E34</f>
        <v>0</v>
      </c>
      <c r="D18" s="1129">
        <f>'財務諸表（入力）'!G34</f>
        <v>0</v>
      </c>
      <c r="E18" s="1130">
        <f t="shared" si="0"/>
        <v>0</v>
      </c>
      <c r="F18" s="2215" t="s">
        <v>582</v>
      </c>
      <c r="G18" s="2216"/>
      <c r="H18" s="1289"/>
      <c r="I18" s="1290"/>
      <c r="J18" s="1139">
        <f t="shared" si="1"/>
        <v>0</v>
      </c>
    </row>
    <row r="19" spans="2:10" s="1118" customFormat="1" ht="21" customHeight="1" thickBot="1" x14ac:dyDescent="0.25">
      <c r="B19" s="1133" t="s">
        <v>591</v>
      </c>
      <c r="C19" s="1155">
        <f>'財務諸表（入力）'!E37-'財務諸表（入力）'!E34-'財務諸表（入力）'!E35</f>
        <v>0</v>
      </c>
      <c r="D19" s="1135">
        <f>'財務諸表（入力）'!G37-'財務諸表（入力）'!G34-'財務諸表（入力）'!G35</f>
        <v>0</v>
      </c>
      <c r="E19" s="1136">
        <f t="shared" si="0"/>
        <v>0</v>
      </c>
      <c r="F19" s="2218" t="s">
        <v>592</v>
      </c>
      <c r="G19" s="2219"/>
      <c r="H19" s="1141">
        <f>'財務諸表（入力）'!E69-CFワークシート②!H16-CFワークシート②!H17-CFワークシート②!H18</f>
        <v>0</v>
      </c>
      <c r="I19" s="1142">
        <f>'財務諸表（入力）'!G69-CFワークシート②!I16-CFワークシート②!I17-CFワークシート②!I18</f>
        <v>0</v>
      </c>
      <c r="J19" s="1143">
        <f t="shared" si="1"/>
        <v>0</v>
      </c>
    </row>
    <row r="20" spans="2:10" s="1118" customFormat="1" ht="21" customHeight="1" thickBot="1" x14ac:dyDescent="0.25">
      <c r="B20" s="1133" t="s">
        <v>593</v>
      </c>
      <c r="C20" s="1155">
        <f>'財務諸表（入力）'!E35</f>
        <v>0</v>
      </c>
      <c r="D20" s="1135">
        <f>'財務諸表（入力）'!G35</f>
        <v>0</v>
      </c>
      <c r="E20" s="1136">
        <f t="shared" si="0"/>
        <v>0</v>
      </c>
      <c r="F20" s="2211" t="s">
        <v>594</v>
      </c>
      <c r="G20" s="2212"/>
      <c r="H20" s="1144">
        <f>SUM(H16:H19)</f>
        <v>0</v>
      </c>
      <c r="I20" s="1145">
        <f>SUM(I16:I19)</f>
        <v>0</v>
      </c>
      <c r="J20" s="1146">
        <f t="shared" si="1"/>
        <v>0</v>
      </c>
    </row>
    <row r="21" spans="2:10" s="1118" customFormat="1" ht="21" customHeight="1" thickBot="1" x14ac:dyDescent="0.25">
      <c r="B21" s="1133" t="s">
        <v>595</v>
      </c>
      <c r="C21" s="1155">
        <f>'財務諸表（入力）'!E38</f>
        <v>0</v>
      </c>
      <c r="D21" s="1135">
        <f>'財務諸表（入力）'!G38</f>
        <v>0</v>
      </c>
      <c r="E21" s="1136">
        <f t="shared" si="0"/>
        <v>0</v>
      </c>
      <c r="F21" s="2211" t="s">
        <v>596</v>
      </c>
      <c r="G21" s="2212"/>
      <c r="H21" s="1144">
        <f>H15+H20</f>
        <v>0</v>
      </c>
      <c r="I21" s="1145">
        <f>I15+I20</f>
        <v>0</v>
      </c>
      <c r="J21" s="1146">
        <f t="shared" si="1"/>
        <v>0</v>
      </c>
    </row>
    <row r="22" spans="2:10" s="1118" customFormat="1" ht="21" customHeight="1" x14ac:dyDescent="0.2">
      <c r="B22" s="1298" t="s">
        <v>681</v>
      </c>
      <c r="C22" s="1287"/>
      <c r="D22" s="1288"/>
      <c r="E22" s="1136">
        <f t="shared" si="0"/>
        <v>0</v>
      </c>
      <c r="F22" s="2213" t="s">
        <v>151</v>
      </c>
      <c r="G22" s="2214"/>
      <c r="H22" s="1131">
        <f>'財務諸表（入力）'!E71</f>
        <v>0</v>
      </c>
      <c r="I22" s="1132">
        <f>'財務諸表（入力）'!G71</f>
        <v>0</v>
      </c>
      <c r="J22" s="1151">
        <f t="shared" si="1"/>
        <v>0</v>
      </c>
    </row>
    <row r="23" spans="2:10" s="1118" customFormat="1" ht="21" customHeight="1" x14ac:dyDescent="0.2">
      <c r="B23" s="1133" t="s">
        <v>597</v>
      </c>
      <c r="C23" s="1287"/>
      <c r="D23" s="1288"/>
      <c r="E23" s="1136">
        <f t="shared" si="0"/>
        <v>0</v>
      </c>
      <c r="F23" s="2215" t="s">
        <v>598</v>
      </c>
      <c r="G23" s="2216"/>
      <c r="H23" s="1137">
        <f>'財務諸表（入力）'!E72</f>
        <v>0</v>
      </c>
      <c r="I23" s="1140">
        <f>'財務諸表（入力）'!G72</f>
        <v>0</v>
      </c>
      <c r="J23" s="1139">
        <f t="shared" si="1"/>
        <v>0</v>
      </c>
    </row>
    <row r="24" spans="2:10" s="1118" customFormat="1" ht="21" customHeight="1" x14ac:dyDescent="0.2">
      <c r="B24" s="1133" t="s">
        <v>599</v>
      </c>
      <c r="C24" s="1155">
        <f>'財務諸表（入力）'!E47-CFワークシート②!C22-CFワークシート②!C23-CFワークシート②!C25</f>
        <v>0</v>
      </c>
      <c r="D24" s="1135">
        <f>'財務諸表（入力）'!G47-CFワークシート②!D25-CFワークシート②!D22-CFワークシート②!D23</f>
        <v>0</v>
      </c>
      <c r="E24" s="1136">
        <f t="shared" si="0"/>
        <v>0</v>
      </c>
      <c r="F24" s="2215" t="s">
        <v>600</v>
      </c>
      <c r="G24" s="2216"/>
      <c r="H24" s="1137">
        <f>'財務諸表（入力）'!E73</f>
        <v>0</v>
      </c>
      <c r="I24" s="1140">
        <f>'財務諸表（入力）'!G73</f>
        <v>0</v>
      </c>
      <c r="J24" s="1139">
        <f t="shared" si="1"/>
        <v>0</v>
      </c>
    </row>
    <row r="25" spans="2:10" s="1118" customFormat="1" ht="21" customHeight="1" thickBot="1" x14ac:dyDescent="0.25">
      <c r="B25" s="1147" t="s">
        <v>110</v>
      </c>
      <c r="C25" s="1156">
        <f>'財務諸表（入力）'!E45</f>
        <v>0</v>
      </c>
      <c r="D25" s="1149">
        <f>'財務諸表（入力）'!G45</f>
        <v>0</v>
      </c>
      <c r="E25" s="1150">
        <f t="shared" si="0"/>
        <v>0</v>
      </c>
      <c r="F25" s="2215" t="s">
        <v>601</v>
      </c>
      <c r="G25" s="2216"/>
      <c r="H25" s="1137">
        <f>'財務諸表（入力）'!E77</f>
        <v>0</v>
      </c>
      <c r="I25" s="1140">
        <f>'財務諸表（入力）'!G77</f>
        <v>0</v>
      </c>
      <c r="J25" s="1139">
        <f t="shared" si="1"/>
        <v>0</v>
      </c>
    </row>
    <row r="26" spans="2:10" s="1118" customFormat="1" ht="21" customHeight="1" thickBot="1" x14ac:dyDescent="0.25">
      <c r="B26" s="1124" t="s">
        <v>602</v>
      </c>
      <c r="C26" s="1157">
        <f>SUM(C18:C25)</f>
        <v>0</v>
      </c>
      <c r="D26" s="1152">
        <f>SUM(D18:D25)</f>
        <v>0</v>
      </c>
      <c r="E26" s="1153">
        <f t="shared" si="0"/>
        <v>0</v>
      </c>
      <c r="F26" s="2218" t="s">
        <v>603</v>
      </c>
      <c r="G26" s="2219"/>
      <c r="H26" s="1299"/>
      <c r="I26" s="1300"/>
      <c r="J26" s="1143">
        <f t="shared" si="1"/>
        <v>0</v>
      </c>
    </row>
    <row r="27" spans="2:10" s="1118" customFormat="1" ht="21" customHeight="1" thickBot="1" x14ac:dyDescent="0.25">
      <c r="B27" s="1158" t="s">
        <v>604</v>
      </c>
      <c r="C27" s="1159">
        <f>'財務諸表（入力）'!E48</f>
        <v>0</v>
      </c>
      <c r="D27" s="1160">
        <f>'財務諸表（入力）'!G48</f>
        <v>0</v>
      </c>
      <c r="E27" s="1161">
        <f t="shared" si="0"/>
        <v>0</v>
      </c>
      <c r="F27" s="2211" t="s">
        <v>213</v>
      </c>
      <c r="G27" s="2212"/>
      <c r="H27" s="1144">
        <f>SUM(H22:H26)</f>
        <v>0</v>
      </c>
      <c r="I27" s="1145">
        <f>SUM(I22:I26)</f>
        <v>0</v>
      </c>
      <c r="J27" s="1146">
        <f t="shared" si="1"/>
        <v>0</v>
      </c>
    </row>
    <row r="28" spans="2:10" s="1118" customFormat="1" ht="21" customHeight="1" thickBot="1" x14ac:dyDescent="0.25">
      <c r="B28" s="1124" t="s">
        <v>605</v>
      </c>
      <c r="C28" s="1152">
        <f>C17+C26+C27</f>
        <v>0</v>
      </c>
      <c r="D28" s="1152">
        <f>D17+D26+D27</f>
        <v>0</v>
      </c>
      <c r="E28" s="1153">
        <f t="shared" si="0"/>
        <v>0</v>
      </c>
      <c r="F28" s="2211" t="s">
        <v>606</v>
      </c>
      <c r="G28" s="2212"/>
      <c r="H28" s="1144">
        <f>H21+H27</f>
        <v>0</v>
      </c>
      <c r="I28" s="1145">
        <f>I21+I27</f>
        <v>0</v>
      </c>
      <c r="J28" s="1146">
        <f t="shared" si="1"/>
        <v>0</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6" t="str">
        <f>C8</f>
        <v>2020年2月1日～
2021年1月31日</v>
      </c>
      <c r="D31" s="1297" t="str">
        <f>D8</f>
        <v>2021年2月1日～2022年1月31日</v>
      </c>
      <c r="E31" s="1126" t="s">
        <v>272</v>
      </c>
      <c r="F31" s="1120"/>
      <c r="G31" s="1120"/>
      <c r="H31" s="1120"/>
      <c r="I31" s="1120"/>
      <c r="J31" s="1120"/>
    </row>
    <row r="32" spans="2:10" s="1118" customFormat="1" ht="21" customHeight="1" x14ac:dyDescent="0.2">
      <c r="B32" s="1172" t="s">
        <v>157</v>
      </c>
      <c r="C32" s="1154">
        <f>'財務諸表（入力）'!E129</f>
        <v>0</v>
      </c>
      <c r="D32" s="1173">
        <f>'財務諸表（入力）'!G129</f>
        <v>0</v>
      </c>
      <c r="E32" s="1174">
        <f t="shared" ref="E32:E44" si="2">D32-C32</f>
        <v>0</v>
      </c>
      <c r="F32" s="1120"/>
      <c r="G32" s="1120"/>
      <c r="H32" s="1120"/>
      <c r="I32" s="1120"/>
      <c r="J32" s="1120"/>
    </row>
    <row r="33" spans="2:10" s="1118" customFormat="1" ht="21" customHeight="1" thickBot="1" x14ac:dyDescent="0.25">
      <c r="B33" s="1175" t="s">
        <v>381</v>
      </c>
      <c r="C33" s="1156">
        <f>'財務諸表（入力）'!E136</f>
        <v>0</v>
      </c>
      <c r="D33" s="1176">
        <f>'財務諸表（入力）'!G136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'財務諸表（入力）'!E156</f>
        <v>0</v>
      </c>
      <c r="D35" s="1181">
        <f>'財務諸表（入力）'!G156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'財務諸表（入力）'!E162</f>
        <v>0</v>
      </c>
      <c r="D37" s="1183">
        <f>'財務諸表（入力）'!G162</f>
        <v>0</v>
      </c>
      <c r="E37" s="1174">
        <f t="shared" si="2"/>
        <v>0</v>
      </c>
      <c r="F37" s="1120"/>
      <c r="G37" s="1120"/>
      <c r="H37" s="1120"/>
      <c r="I37" s="1120"/>
      <c r="J37" s="1120"/>
    </row>
    <row r="38" spans="2:10" s="1118" customFormat="1" ht="21" customHeight="1" thickBot="1" x14ac:dyDescent="0.25">
      <c r="B38" s="1175" t="s">
        <v>487</v>
      </c>
      <c r="C38" s="1156">
        <f>'財務諸表（入力）'!E165</f>
        <v>0</v>
      </c>
      <c r="D38" s="1176">
        <f>'財務諸表（入力）'!G165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'財務諸表（入力）'!E167</f>
        <v>0</v>
      </c>
      <c r="D40" s="1183">
        <f>'財務諸表（入力）'!G167</f>
        <v>0</v>
      </c>
      <c r="E40" s="1174">
        <f t="shared" si="2"/>
        <v>0</v>
      </c>
      <c r="F40" s="1184" t="s">
        <v>614</v>
      </c>
      <c r="G40" s="1184"/>
      <c r="H40" s="1120"/>
      <c r="I40" s="1120"/>
      <c r="J40" s="1120"/>
    </row>
    <row r="41" spans="2:10" s="1118" customFormat="1" ht="21" customHeight="1" thickBot="1" x14ac:dyDescent="0.25">
      <c r="B41" s="1186" t="s">
        <v>510</v>
      </c>
      <c r="C41" s="1156">
        <f>'財務諸表（入力）'!E168</f>
        <v>0</v>
      </c>
      <c r="D41" s="1176">
        <f>'財務諸表（入力）'!G168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'財務諸表（入力）'!E170</f>
        <v>0</v>
      </c>
      <c r="D43" s="1181">
        <f>'財務諸表（入力）'!G170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2020年2月1日～
2021年1月31日</v>
      </c>
      <c r="D47" s="1171" t="str">
        <f>D8</f>
        <v>2021年2月1日～2022年1月31日</v>
      </c>
      <c r="E47" s="1126" t="s">
        <v>272</v>
      </c>
      <c r="F47" s="1184"/>
      <c r="G47" s="1184"/>
      <c r="H47" s="1120"/>
      <c r="I47" s="1120"/>
      <c r="J47" s="1120"/>
    </row>
    <row r="48" spans="2:10" s="1118" customFormat="1" ht="21" customHeight="1" x14ac:dyDescent="0.2">
      <c r="B48" s="1194" t="s">
        <v>443</v>
      </c>
      <c r="C48" s="1195">
        <f>'財務諸表（入力）'!E182</f>
        <v>0</v>
      </c>
      <c r="D48" s="1196">
        <f>'財務諸表（入力）'!G182</f>
        <v>0</v>
      </c>
      <c r="E48" s="1197">
        <f>+D48-C48</f>
        <v>0</v>
      </c>
      <c r="F48" s="1198"/>
      <c r="G48" s="1198"/>
      <c r="H48" s="1198"/>
      <c r="I48" s="1198"/>
      <c r="J48" s="1120"/>
    </row>
    <row r="49" spans="2:10" s="1118" customFormat="1" ht="21" customHeight="1" thickBot="1" x14ac:dyDescent="0.25">
      <c r="B49" s="1199" t="s">
        <v>306</v>
      </c>
      <c r="C49" s="1200">
        <f>'財務諸表（入力）'!E163</f>
        <v>0</v>
      </c>
      <c r="D49" s="1201">
        <f>'財務諸表（入力）'!G163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34" t="s">
        <v>573</v>
      </c>
      <c r="C52" s="2237" t="s">
        <v>621</v>
      </c>
      <c r="D52" s="2237"/>
      <c r="E52" s="2237"/>
      <c r="F52" s="2237"/>
      <c r="G52" s="2237"/>
      <c r="H52" s="2238"/>
      <c r="I52" s="2221" t="s">
        <v>603</v>
      </c>
      <c r="J52" s="2224" t="s">
        <v>213</v>
      </c>
    </row>
    <row r="53" spans="2:10" s="1118" customFormat="1" ht="19.5" customHeight="1" x14ac:dyDescent="0.2">
      <c r="B53" s="2235"/>
      <c r="C53" s="2227" t="s">
        <v>151</v>
      </c>
      <c r="D53" s="2227" t="s">
        <v>150</v>
      </c>
      <c r="E53" s="2229" t="s">
        <v>152</v>
      </c>
      <c r="F53" s="2230"/>
      <c r="G53" s="2231" t="s">
        <v>601</v>
      </c>
      <c r="H53" s="2232" t="s">
        <v>622</v>
      </c>
      <c r="I53" s="2222"/>
      <c r="J53" s="2225"/>
    </row>
    <row r="54" spans="2:10" s="1118" customFormat="1" ht="32.25" customHeight="1" thickBot="1" x14ac:dyDescent="0.25">
      <c r="B54" s="2236"/>
      <c r="C54" s="2228"/>
      <c r="D54" s="2228"/>
      <c r="E54" s="1204" t="s">
        <v>623</v>
      </c>
      <c r="F54" s="1205" t="s">
        <v>624</v>
      </c>
      <c r="G54" s="2223"/>
      <c r="H54" s="2233"/>
      <c r="I54" s="2223"/>
      <c r="J54" s="2226"/>
    </row>
    <row r="55" spans="2:10" s="1206" customFormat="1" ht="21" customHeight="1" x14ac:dyDescent="0.2">
      <c r="B55" s="1207" t="s">
        <v>625</v>
      </c>
      <c r="C55" s="1208">
        <f>H22</f>
        <v>0</v>
      </c>
      <c r="D55" s="1209">
        <f>H23</f>
        <v>0</v>
      </c>
      <c r="E55" s="1210">
        <f>'財務諸表（入力）'!E74</f>
        <v>0</v>
      </c>
      <c r="F55" s="1211">
        <f>'財務諸表（入力）'!E75</f>
        <v>0</v>
      </c>
      <c r="G55" s="1212">
        <f>H25</f>
        <v>0</v>
      </c>
      <c r="H55" s="1213">
        <f t="shared" ref="H55:H63" si="3">SUM(C55:G55)</f>
        <v>0</v>
      </c>
      <c r="I55" s="1209">
        <f>H26</f>
        <v>0</v>
      </c>
      <c r="J55" s="1214">
        <f>H55+I55</f>
        <v>0</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5"/>
      <c r="F57" s="1219">
        <f>E57*-1</f>
        <v>0</v>
      </c>
      <c r="G57" s="1217"/>
      <c r="H57" s="1223">
        <f t="shared" si="3"/>
        <v>0</v>
      </c>
      <c r="I57" s="1217"/>
      <c r="J57" s="1221">
        <f t="shared" si="4"/>
        <v>0</v>
      </c>
    </row>
    <row r="58" spans="2:10" s="1206" customFormat="1" ht="21" customHeight="1" x14ac:dyDescent="0.2">
      <c r="B58" s="1215" t="s">
        <v>628</v>
      </c>
      <c r="C58" s="1216"/>
      <c r="D58" s="1217"/>
      <c r="E58" s="1285"/>
      <c r="F58" s="1219">
        <f>E58*-1</f>
        <v>0</v>
      </c>
      <c r="G58" s="1217"/>
      <c r="H58" s="1224">
        <f t="shared" si="3"/>
        <v>0</v>
      </c>
      <c r="I58" s="1217"/>
      <c r="J58" s="1221">
        <f t="shared" si="4"/>
        <v>0</v>
      </c>
    </row>
    <row r="59" spans="2:10" s="1206" customFormat="1" ht="21" customHeight="1" x14ac:dyDescent="0.2">
      <c r="B59" s="1215" t="s">
        <v>629</v>
      </c>
      <c r="C59" s="1216"/>
      <c r="D59" s="1217"/>
      <c r="E59" s="1218"/>
      <c r="F59" s="1291"/>
      <c r="G59" s="1217"/>
      <c r="H59" s="1224">
        <f t="shared" si="3"/>
        <v>0</v>
      </c>
      <c r="I59" s="1217"/>
      <c r="J59" s="1221">
        <f t="shared" si="4"/>
        <v>0</v>
      </c>
    </row>
    <row r="60" spans="2:10" s="1206" customFormat="1" ht="21" customHeight="1" x14ac:dyDescent="0.2">
      <c r="B60" s="1215" t="s">
        <v>630</v>
      </c>
      <c r="C60" s="1216"/>
      <c r="D60" s="1217"/>
      <c r="E60" s="1218"/>
      <c r="F60" s="1291"/>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5"/>
      <c r="F63" s="1291"/>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0</v>
      </c>
      <c r="D65" s="1230">
        <f>D55+D64</f>
        <v>0</v>
      </c>
      <c r="E65" s="1229">
        <f>E55+E64</f>
        <v>0</v>
      </c>
      <c r="F65" s="1230">
        <f>F55+F64</f>
        <v>0</v>
      </c>
      <c r="G65" s="1231">
        <f>+I25</f>
        <v>0</v>
      </c>
      <c r="H65" s="1230">
        <f>H55+H64</f>
        <v>0</v>
      </c>
      <c r="I65" s="1230">
        <f>+I26</f>
        <v>0</v>
      </c>
      <c r="J65" s="1232">
        <f>J55+J64</f>
        <v>0</v>
      </c>
    </row>
    <row r="66" spans="2:10" ht="31.5" customHeight="1" x14ac:dyDescent="0.2">
      <c r="B66" s="2220" t="s">
        <v>689</v>
      </c>
      <c r="C66" s="2220"/>
      <c r="D66" s="2220"/>
      <c r="E66" s="2220"/>
      <c r="F66" s="2220"/>
      <c r="G66" s="2220"/>
      <c r="H66" s="2220"/>
      <c r="I66" s="2220"/>
      <c r="J66" s="2220"/>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66:J66"/>
    <mergeCell ref="I52:I54"/>
    <mergeCell ref="J52:J54"/>
    <mergeCell ref="C53:C54"/>
    <mergeCell ref="D53:D54"/>
    <mergeCell ref="E53:F53"/>
    <mergeCell ref="G53:G54"/>
    <mergeCell ref="H53:H54"/>
    <mergeCell ref="B52:B54"/>
    <mergeCell ref="C52:H52"/>
    <mergeCell ref="F24:G24"/>
    <mergeCell ref="F25:G25"/>
    <mergeCell ref="F26:G26"/>
    <mergeCell ref="F27:G27"/>
    <mergeCell ref="F28:G28"/>
    <mergeCell ref="F23:G23"/>
    <mergeCell ref="F12:G12"/>
    <mergeCell ref="F13:G13"/>
    <mergeCell ref="F14:G14"/>
    <mergeCell ref="F15:G15"/>
    <mergeCell ref="F16:G16"/>
    <mergeCell ref="F17:G17"/>
    <mergeCell ref="F18:G18"/>
    <mergeCell ref="F19:G19"/>
    <mergeCell ref="F20:G20"/>
    <mergeCell ref="F21:G21"/>
    <mergeCell ref="F22:G22"/>
    <mergeCell ref="B2:J2"/>
    <mergeCell ref="F8:G8"/>
    <mergeCell ref="F9:G9"/>
    <mergeCell ref="F10:G10"/>
    <mergeCell ref="L10:L11"/>
    <mergeCell ref="F11:G11"/>
  </mergeCells>
  <phoneticPr fontId="2"/>
  <dataValidations count="2">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A00-000000000000}"/>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A00-000001000000}">
      <formula1>$L$7:$L$9</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39997558519241921"/>
  </sheetPr>
  <dimension ref="A1:AN52"/>
  <sheetViews>
    <sheetView showGridLines="0" view="pageBreakPreview" zoomScaleNormal="100" zoomScaleSheetLayoutView="100" workbookViewId="0">
      <selection activeCell="S31" sqref="S31:W31"/>
    </sheetView>
  </sheetViews>
  <sheetFormatPr defaultColWidth="2.6640625" defaultRowHeight="15.75" customHeight="1" x14ac:dyDescent="0.2"/>
  <cols>
    <col min="1" max="16384" width="2.6640625" style="1304"/>
  </cols>
  <sheetData>
    <row r="1" spans="1:40" ht="15.75" customHeight="1" x14ac:dyDescent="0.2">
      <c r="L1" s="2244" t="s">
        <v>694</v>
      </c>
      <c r="M1" s="2244"/>
      <c r="N1" s="2244"/>
      <c r="O1" s="2244"/>
      <c r="P1" s="2244"/>
      <c r="Q1" s="2244"/>
      <c r="R1" s="2244"/>
      <c r="S1" s="2244"/>
      <c r="T1" s="2244"/>
      <c r="U1" s="2244"/>
      <c r="AH1" s="2245" t="s">
        <v>695</v>
      </c>
      <c r="AI1" s="2245"/>
      <c r="AJ1" s="2245"/>
      <c r="AK1" s="2245"/>
      <c r="AL1" s="2245"/>
      <c r="AM1" s="2245"/>
      <c r="AN1" s="1305" t="s">
        <v>696</v>
      </c>
    </row>
    <row r="2" spans="1:40" ht="15.75" customHeight="1" x14ac:dyDescent="0.2">
      <c r="L2" s="2244"/>
      <c r="M2" s="2244"/>
      <c r="N2" s="2244"/>
      <c r="O2" s="2244"/>
      <c r="P2" s="2244"/>
      <c r="Q2" s="2244"/>
      <c r="R2" s="2244"/>
      <c r="S2" s="2244"/>
      <c r="T2" s="2244"/>
      <c r="U2" s="2244"/>
    </row>
    <row r="3" spans="1:40" ht="15.75" customHeight="1" x14ac:dyDescent="0.2">
      <c r="A3" s="1306"/>
      <c r="B3" s="1306"/>
      <c r="C3" s="1306"/>
      <c r="D3" s="1306"/>
      <c r="E3" s="1306"/>
      <c r="F3" s="1306"/>
      <c r="G3" s="1306"/>
      <c r="H3" s="1306"/>
      <c r="I3" s="1306"/>
      <c r="J3" s="1306"/>
      <c r="K3" s="1306"/>
      <c r="L3" s="1306"/>
      <c r="M3" s="1306"/>
      <c r="N3" s="1306"/>
      <c r="O3" s="1306"/>
      <c r="P3" s="1306"/>
      <c r="Q3" s="1306"/>
      <c r="R3" s="1306"/>
      <c r="S3" s="1306"/>
      <c r="T3" s="1306"/>
      <c r="U3" s="1306"/>
      <c r="V3" s="1306"/>
      <c r="W3" s="1306"/>
      <c r="X3" s="1306"/>
      <c r="Y3" s="1306"/>
      <c r="Z3" s="1306"/>
      <c r="AA3" s="1306"/>
      <c r="AB3" s="1306"/>
      <c r="AC3" s="1306"/>
      <c r="AD3" s="1306"/>
      <c r="AE3" s="1306"/>
      <c r="AF3" s="1306"/>
      <c r="AG3" s="1306"/>
    </row>
    <row r="4" spans="1:40" ht="15.75" customHeight="1" x14ac:dyDescent="0.2">
      <c r="A4" s="2239" t="s">
        <v>697</v>
      </c>
      <c r="B4" s="2239"/>
      <c r="C4" s="2240"/>
      <c r="D4" s="2246"/>
      <c r="E4" s="2246"/>
      <c r="F4" s="2246"/>
      <c r="G4" s="2246"/>
      <c r="H4" s="2246"/>
      <c r="I4" s="2246"/>
      <c r="J4" s="2246"/>
      <c r="K4" s="2246"/>
      <c r="L4" s="2246"/>
      <c r="M4" s="2246"/>
      <c r="N4" s="2246"/>
      <c r="O4" s="2246"/>
      <c r="P4" s="2247"/>
      <c r="Q4" s="2239" t="s">
        <v>698</v>
      </c>
      <c r="R4" s="2239"/>
      <c r="S4" s="2240"/>
      <c r="T4" s="2241"/>
      <c r="U4" s="2241"/>
      <c r="V4" s="2241"/>
      <c r="W4" s="2241"/>
      <c r="X4" s="2241"/>
      <c r="Y4" s="2241"/>
      <c r="Z4" s="2242"/>
    </row>
    <row r="5" spans="1:40" ht="15.75" customHeight="1" x14ac:dyDescent="0.2">
      <c r="A5" s="2239" t="s">
        <v>699</v>
      </c>
      <c r="B5" s="2239"/>
      <c r="C5" s="2240"/>
      <c r="D5" s="2241" t="s">
        <v>738</v>
      </c>
      <c r="E5" s="2241"/>
      <c r="F5" s="2241"/>
      <c r="G5" s="2241"/>
      <c r="H5" s="2242"/>
      <c r="I5" s="2239" t="s">
        <v>700</v>
      </c>
      <c r="J5" s="2239"/>
      <c r="K5" s="2240"/>
      <c r="L5" s="2242"/>
      <c r="M5" s="2243"/>
      <c r="N5" s="2243"/>
      <c r="O5" s="2243"/>
      <c r="P5" s="2243"/>
      <c r="Q5" s="2239" t="s">
        <v>701</v>
      </c>
      <c r="R5" s="2239"/>
      <c r="S5" s="2240"/>
      <c r="T5" s="2242"/>
      <c r="U5" s="2243"/>
      <c r="V5" s="2243"/>
      <c r="W5" s="2243"/>
      <c r="X5" s="2243"/>
      <c r="Y5" s="2239" t="s">
        <v>702</v>
      </c>
      <c r="Z5" s="2239"/>
      <c r="AA5" s="2240"/>
      <c r="AB5" s="2242"/>
      <c r="AC5" s="2243"/>
      <c r="AD5" s="2243"/>
      <c r="AE5" s="2243"/>
      <c r="AF5" s="2243"/>
    </row>
    <row r="6" spans="1:40" s="1307" customFormat="1" ht="15.75" customHeight="1" x14ac:dyDescent="0.2">
      <c r="AH6" s="1304"/>
      <c r="AI6" s="1304"/>
      <c r="AJ6" s="1304"/>
      <c r="AK6" s="1304"/>
      <c r="AL6" s="1304"/>
      <c r="AM6" s="1304"/>
      <c r="AN6" s="1304"/>
    </row>
    <row r="7" spans="1:40" ht="15.75" customHeight="1" x14ac:dyDescent="0.2">
      <c r="I7" s="1308"/>
      <c r="J7" s="2248" t="str">
        <f>'財務諸表（入力）'!E5</f>
        <v>前々期</v>
      </c>
      <c r="K7" s="2248"/>
      <c r="L7" s="2249" t="s">
        <v>703</v>
      </c>
      <c r="M7" s="2249"/>
      <c r="N7" s="1309"/>
      <c r="O7" s="2248" t="str">
        <f>'財務諸表（入力）'!G5</f>
        <v>前期</v>
      </c>
      <c r="P7" s="2248"/>
      <c r="Q7" s="2249" t="s">
        <v>703</v>
      </c>
      <c r="R7" s="2250"/>
      <c r="S7" s="1310"/>
      <c r="T7" s="2248" t="str">
        <f>'財務諸表（入力）'!J5</f>
        <v>今期</v>
      </c>
      <c r="U7" s="2248"/>
      <c r="V7" s="2249" t="s">
        <v>703</v>
      </c>
      <c r="W7" s="2249"/>
      <c r="X7" s="2251" t="s">
        <v>704</v>
      </c>
      <c r="Y7" s="2251"/>
      <c r="Z7" s="2251"/>
      <c r="AA7" s="2251"/>
      <c r="AB7" s="2251"/>
      <c r="AC7" s="2252" t="s">
        <v>705</v>
      </c>
      <c r="AD7" s="2251"/>
      <c r="AE7" s="2251"/>
      <c r="AF7" s="2251"/>
      <c r="AG7" s="2251"/>
    </row>
    <row r="8" spans="1:40" ht="15.75" customHeight="1" x14ac:dyDescent="0.15">
      <c r="A8" s="1311" t="s">
        <v>706</v>
      </c>
      <c r="B8" s="2239" t="s">
        <v>707</v>
      </c>
      <c r="C8" s="2239"/>
      <c r="D8" s="2239"/>
      <c r="E8" s="2239"/>
      <c r="F8" s="2273"/>
      <c r="G8" s="2274" t="s">
        <v>708</v>
      </c>
      <c r="H8" s="2275"/>
      <c r="I8" s="2276"/>
      <c r="J8" s="2260"/>
      <c r="K8" s="1312" t="s">
        <v>709</v>
      </c>
      <c r="L8" s="1313"/>
      <c r="M8" s="1314" t="s">
        <v>710</v>
      </c>
      <c r="N8" s="2277"/>
      <c r="O8" s="2260"/>
      <c r="P8" s="1312" t="s">
        <v>709</v>
      </c>
      <c r="Q8" s="1313"/>
      <c r="R8" s="1315" t="s">
        <v>710</v>
      </c>
      <c r="S8" s="2260"/>
      <c r="T8" s="2260"/>
      <c r="U8" s="1312" t="s">
        <v>709</v>
      </c>
      <c r="V8" s="1313"/>
      <c r="W8" s="1314" t="s">
        <v>710</v>
      </c>
      <c r="X8" s="2276"/>
      <c r="Y8" s="2260"/>
      <c r="Z8" s="1312" t="s">
        <v>709</v>
      </c>
      <c r="AA8" s="1313"/>
      <c r="AB8" s="1316" t="s">
        <v>710</v>
      </c>
      <c r="AC8" s="2260"/>
      <c r="AD8" s="2260"/>
      <c r="AE8" s="1312" t="s">
        <v>709</v>
      </c>
      <c r="AF8" s="1313"/>
      <c r="AG8" s="1316" t="s">
        <v>710</v>
      </c>
    </row>
    <row r="9" spans="1:40" ht="15.75" customHeight="1" x14ac:dyDescent="0.2">
      <c r="A9" s="2261" t="s">
        <v>711</v>
      </c>
      <c r="B9" s="2262" t="s">
        <v>712</v>
      </c>
      <c r="C9" s="2263"/>
      <c r="D9" s="2263"/>
      <c r="E9" s="2263"/>
      <c r="F9" s="2263"/>
      <c r="G9" s="2264" t="s">
        <v>713</v>
      </c>
      <c r="H9" s="2265"/>
      <c r="I9" s="2266">
        <f>'財務諸表（入力）'!E71</f>
        <v>0</v>
      </c>
      <c r="J9" s="2267"/>
      <c r="K9" s="2267"/>
      <c r="L9" s="2267"/>
      <c r="M9" s="2267"/>
      <c r="N9" s="2267">
        <f>'財務諸表（入力）'!G71</f>
        <v>0</v>
      </c>
      <c r="O9" s="2267"/>
      <c r="P9" s="2267"/>
      <c r="Q9" s="2267"/>
      <c r="R9" s="2267"/>
      <c r="S9" s="2267">
        <f>'財務諸表（入力）'!J71</f>
        <v>0</v>
      </c>
      <c r="T9" s="2267"/>
      <c r="U9" s="2267"/>
      <c r="V9" s="2267"/>
      <c r="W9" s="2268"/>
      <c r="X9" s="2266"/>
      <c r="Y9" s="2267"/>
      <c r="Z9" s="2267"/>
      <c r="AA9" s="2267"/>
      <c r="AB9" s="2269"/>
      <c r="AC9" s="2270"/>
      <c r="AD9" s="2267"/>
      <c r="AE9" s="2267"/>
      <c r="AF9" s="2267"/>
      <c r="AG9" s="2269"/>
    </row>
    <row r="10" spans="1:40" ht="15.75" customHeight="1" x14ac:dyDescent="0.2">
      <c r="A10" s="2261"/>
      <c r="B10" s="2271" t="s">
        <v>714</v>
      </c>
      <c r="C10" s="2272"/>
      <c r="D10" s="2272"/>
      <c r="E10" s="2272"/>
      <c r="F10" s="2272"/>
      <c r="G10" s="2253" t="s">
        <v>715</v>
      </c>
      <c r="H10" s="2254"/>
      <c r="I10" s="2255">
        <f>'財務諸表（入力）'!E179</f>
        <v>0</v>
      </c>
      <c r="J10" s="2256"/>
      <c r="K10" s="2256"/>
      <c r="L10" s="2256"/>
      <c r="M10" s="2256"/>
      <c r="N10" s="2256">
        <f>'財務諸表（入力）'!G179</f>
        <v>0</v>
      </c>
      <c r="O10" s="2256"/>
      <c r="P10" s="2256"/>
      <c r="Q10" s="2256"/>
      <c r="R10" s="2256"/>
      <c r="S10" s="2256">
        <f>'財務諸表（入力）'!J179</f>
        <v>0</v>
      </c>
      <c r="T10" s="2256"/>
      <c r="U10" s="2256"/>
      <c r="V10" s="2256"/>
      <c r="W10" s="2257"/>
      <c r="X10" s="2255"/>
      <c r="Y10" s="2256"/>
      <c r="Z10" s="2256"/>
      <c r="AA10" s="2256"/>
      <c r="AB10" s="2258"/>
      <c r="AC10" s="2259"/>
      <c r="AD10" s="2256"/>
      <c r="AE10" s="2256"/>
      <c r="AF10" s="2256"/>
      <c r="AG10" s="2258"/>
    </row>
    <row r="11" spans="1:40" ht="15.75" customHeight="1" x14ac:dyDescent="0.2">
      <c r="A11" s="2261"/>
      <c r="B11" s="2271" t="s">
        <v>716</v>
      </c>
      <c r="C11" s="2272"/>
      <c r="D11" s="2272"/>
      <c r="E11" s="2272"/>
      <c r="F11" s="2272"/>
      <c r="G11" s="2253" t="s">
        <v>713</v>
      </c>
      <c r="H11" s="2254"/>
      <c r="I11" s="2255">
        <f>'財務諸表（入力）'!E129</f>
        <v>0</v>
      </c>
      <c r="J11" s="2256"/>
      <c r="K11" s="2256"/>
      <c r="L11" s="2256"/>
      <c r="M11" s="2256"/>
      <c r="N11" s="2256">
        <f>'財務諸表（入力）'!G129</f>
        <v>0</v>
      </c>
      <c r="O11" s="2256"/>
      <c r="P11" s="2256"/>
      <c r="Q11" s="2256"/>
      <c r="R11" s="2256"/>
      <c r="S11" s="2256">
        <f>'財務諸表（入力）'!J129</f>
        <v>0</v>
      </c>
      <c r="T11" s="2256"/>
      <c r="U11" s="2256"/>
      <c r="V11" s="2256"/>
      <c r="W11" s="2257"/>
      <c r="X11" s="2255"/>
      <c r="Y11" s="2256"/>
      <c r="Z11" s="2256"/>
      <c r="AA11" s="2256"/>
      <c r="AB11" s="2258"/>
      <c r="AC11" s="2259"/>
      <c r="AD11" s="2256"/>
      <c r="AE11" s="2256"/>
      <c r="AF11" s="2256"/>
      <c r="AG11" s="2258"/>
    </row>
    <row r="12" spans="1:40" ht="15.75" customHeight="1" x14ac:dyDescent="0.2">
      <c r="A12" s="2261"/>
      <c r="B12" s="2271" t="s">
        <v>717</v>
      </c>
      <c r="C12" s="2272"/>
      <c r="D12" s="2272"/>
      <c r="E12" s="2272"/>
      <c r="F12" s="2272"/>
      <c r="G12" s="2253" t="s">
        <v>713</v>
      </c>
      <c r="H12" s="2254"/>
      <c r="I12" s="2255">
        <f>'財務諸表（入力）'!E137</f>
        <v>0</v>
      </c>
      <c r="J12" s="2256"/>
      <c r="K12" s="2256"/>
      <c r="L12" s="2256"/>
      <c r="M12" s="2256"/>
      <c r="N12" s="2256">
        <f>'財務諸表（入力）'!G137</f>
        <v>0</v>
      </c>
      <c r="O12" s="2256"/>
      <c r="P12" s="2256"/>
      <c r="Q12" s="2256"/>
      <c r="R12" s="2256"/>
      <c r="S12" s="2256">
        <f>'財務諸表（入力）'!J137</f>
        <v>0</v>
      </c>
      <c r="T12" s="2256"/>
      <c r="U12" s="2256"/>
      <c r="V12" s="2256"/>
      <c r="W12" s="2257"/>
      <c r="X12" s="2255"/>
      <c r="Y12" s="2256"/>
      <c r="Z12" s="2256"/>
      <c r="AA12" s="2256"/>
      <c r="AB12" s="2258"/>
      <c r="AC12" s="2259"/>
      <c r="AD12" s="2256"/>
      <c r="AE12" s="2256"/>
      <c r="AF12" s="2256"/>
      <c r="AG12" s="2258"/>
    </row>
    <row r="13" spans="1:40" ht="15.75" customHeight="1" x14ac:dyDescent="0.2">
      <c r="A13" s="2261"/>
      <c r="B13" s="2271" t="s">
        <v>718</v>
      </c>
      <c r="C13" s="2272"/>
      <c r="D13" s="2272"/>
      <c r="E13" s="2272"/>
      <c r="F13" s="2272"/>
      <c r="G13" s="2253" t="s">
        <v>713</v>
      </c>
      <c r="H13" s="2254"/>
      <c r="I13" s="2255">
        <f>'財務諸表（入力）'!E157</f>
        <v>0</v>
      </c>
      <c r="J13" s="2256"/>
      <c r="K13" s="2256"/>
      <c r="L13" s="2256"/>
      <c r="M13" s="2256"/>
      <c r="N13" s="2256">
        <f>'財務諸表（入力）'!G157</f>
        <v>0</v>
      </c>
      <c r="O13" s="2256"/>
      <c r="P13" s="2256"/>
      <c r="Q13" s="2256"/>
      <c r="R13" s="2256"/>
      <c r="S13" s="2256">
        <f>'財務諸表（入力）'!J157</f>
        <v>0</v>
      </c>
      <c r="T13" s="2256"/>
      <c r="U13" s="2256"/>
      <c r="V13" s="2256"/>
      <c r="W13" s="2257"/>
      <c r="X13" s="2255"/>
      <c r="Y13" s="2256"/>
      <c r="Z13" s="2256"/>
      <c r="AA13" s="2256"/>
      <c r="AB13" s="2258"/>
      <c r="AC13" s="2259"/>
      <c r="AD13" s="2256"/>
      <c r="AE13" s="2256"/>
      <c r="AF13" s="2256"/>
      <c r="AG13" s="2258"/>
    </row>
    <row r="14" spans="1:40" ht="15.75" customHeight="1" x14ac:dyDescent="0.2">
      <c r="A14" s="2261"/>
      <c r="B14" s="2271" t="s">
        <v>719</v>
      </c>
      <c r="C14" s="2272"/>
      <c r="D14" s="2272"/>
      <c r="E14" s="2272"/>
      <c r="F14" s="2272"/>
      <c r="G14" s="2253" t="s">
        <v>713</v>
      </c>
      <c r="H14" s="2254"/>
      <c r="I14" s="2255">
        <f>'財務諸表（入力）'!E166</f>
        <v>0</v>
      </c>
      <c r="J14" s="2256"/>
      <c r="K14" s="2256"/>
      <c r="L14" s="2256"/>
      <c r="M14" s="2256"/>
      <c r="N14" s="2256">
        <f>'財務諸表（入力）'!G166</f>
        <v>0</v>
      </c>
      <c r="O14" s="2256"/>
      <c r="P14" s="2256"/>
      <c r="Q14" s="2256"/>
      <c r="R14" s="2256"/>
      <c r="S14" s="2256">
        <f>'財務諸表（入力）'!J166</f>
        <v>0</v>
      </c>
      <c r="T14" s="2256"/>
      <c r="U14" s="2256"/>
      <c r="V14" s="2256"/>
      <c r="W14" s="2257"/>
      <c r="X14" s="2255"/>
      <c r="Y14" s="2256"/>
      <c r="Z14" s="2256"/>
      <c r="AA14" s="2256"/>
      <c r="AB14" s="2258"/>
      <c r="AC14" s="2259"/>
      <c r="AD14" s="2256"/>
      <c r="AE14" s="2256"/>
      <c r="AF14" s="2256"/>
      <c r="AG14" s="2258"/>
    </row>
    <row r="15" spans="1:40" ht="15.75" customHeight="1" x14ac:dyDescent="0.2">
      <c r="A15" s="2261"/>
      <c r="B15" s="2271" t="s">
        <v>720</v>
      </c>
      <c r="C15" s="2272"/>
      <c r="D15" s="2272"/>
      <c r="E15" s="2272"/>
      <c r="F15" s="2272"/>
      <c r="G15" s="2253" t="s">
        <v>713</v>
      </c>
      <c r="H15" s="2254"/>
      <c r="I15" s="2255">
        <f>'財務諸表（入力）'!E171</f>
        <v>0</v>
      </c>
      <c r="J15" s="2256"/>
      <c r="K15" s="2256"/>
      <c r="L15" s="2256"/>
      <c r="M15" s="2256"/>
      <c r="N15" s="2256">
        <f>'財務諸表（入力）'!G171</f>
        <v>0</v>
      </c>
      <c r="O15" s="2256"/>
      <c r="P15" s="2256"/>
      <c r="Q15" s="2256"/>
      <c r="R15" s="2256"/>
      <c r="S15" s="2256">
        <f>'財務諸表（入力）'!J171</f>
        <v>0</v>
      </c>
      <c r="T15" s="2256"/>
      <c r="U15" s="2256"/>
      <c r="V15" s="2256"/>
      <c r="W15" s="2257"/>
      <c r="X15" s="2255"/>
      <c r="Y15" s="2256"/>
      <c r="Z15" s="2256"/>
      <c r="AA15" s="2256"/>
      <c r="AB15" s="2258"/>
      <c r="AC15" s="2259"/>
      <c r="AD15" s="2256"/>
      <c r="AE15" s="2256"/>
      <c r="AF15" s="2256"/>
      <c r="AG15" s="2258"/>
    </row>
    <row r="16" spans="1:40" ht="15.75" customHeight="1" x14ac:dyDescent="0.2">
      <c r="A16" s="2261"/>
      <c r="B16" s="2271" t="s">
        <v>721</v>
      </c>
      <c r="C16" s="2272"/>
      <c r="D16" s="2272"/>
      <c r="E16" s="2272"/>
      <c r="F16" s="2272"/>
      <c r="G16" s="2253" t="s">
        <v>713</v>
      </c>
      <c r="H16" s="2254"/>
      <c r="I16" s="2255">
        <f>'財務諸表（入力）'!E182</f>
        <v>0</v>
      </c>
      <c r="J16" s="2256"/>
      <c r="K16" s="2256"/>
      <c r="L16" s="2256"/>
      <c r="M16" s="2256"/>
      <c r="N16" s="2256">
        <f>'財務諸表（入力）'!G182</f>
        <v>0</v>
      </c>
      <c r="O16" s="2256"/>
      <c r="P16" s="2256"/>
      <c r="Q16" s="2256"/>
      <c r="R16" s="2256"/>
      <c r="S16" s="2256">
        <f>'財務諸表（入力）'!J182</f>
        <v>0</v>
      </c>
      <c r="T16" s="2256"/>
      <c r="U16" s="2256"/>
      <c r="V16" s="2256"/>
      <c r="W16" s="2257"/>
      <c r="X16" s="2255"/>
      <c r="Y16" s="2256"/>
      <c r="Z16" s="2256"/>
      <c r="AA16" s="2256"/>
      <c r="AB16" s="2258"/>
      <c r="AC16" s="2259"/>
      <c r="AD16" s="2256"/>
      <c r="AE16" s="2256"/>
      <c r="AF16" s="2256"/>
      <c r="AG16" s="2258"/>
    </row>
    <row r="17" spans="1:33" ht="15.75" customHeight="1" x14ac:dyDescent="0.2">
      <c r="A17" s="2261"/>
      <c r="B17" s="2271" t="s">
        <v>722</v>
      </c>
      <c r="C17" s="2272"/>
      <c r="D17" s="2272"/>
      <c r="E17" s="2272"/>
      <c r="F17" s="2272"/>
      <c r="G17" s="2253" t="s">
        <v>713</v>
      </c>
      <c r="H17" s="2254"/>
      <c r="I17" s="2255">
        <f>'財務諸表（入力）'!E6</f>
        <v>0</v>
      </c>
      <c r="J17" s="2256"/>
      <c r="K17" s="2256"/>
      <c r="L17" s="2256"/>
      <c r="M17" s="2256"/>
      <c r="N17" s="2256">
        <f>'財務諸表（入力）'!G6</f>
        <v>0</v>
      </c>
      <c r="O17" s="2256"/>
      <c r="P17" s="2256"/>
      <c r="Q17" s="2256"/>
      <c r="R17" s="2256"/>
      <c r="S17" s="2256">
        <f>'財務諸表（入力）'!J6</f>
        <v>0</v>
      </c>
      <c r="T17" s="2256"/>
      <c r="U17" s="2256"/>
      <c r="V17" s="2256"/>
      <c r="W17" s="2257"/>
      <c r="X17" s="2255"/>
      <c r="Y17" s="2256"/>
      <c r="Z17" s="2256"/>
      <c r="AA17" s="2256"/>
      <c r="AB17" s="2258"/>
      <c r="AC17" s="2259"/>
      <c r="AD17" s="2256"/>
      <c r="AE17" s="2256"/>
      <c r="AF17" s="2256"/>
      <c r="AG17" s="2258"/>
    </row>
    <row r="18" spans="1:33" ht="15.75" customHeight="1" x14ac:dyDescent="0.2">
      <c r="A18" s="2261"/>
      <c r="B18" s="2271" t="s">
        <v>723</v>
      </c>
      <c r="C18" s="2272"/>
      <c r="D18" s="2272"/>
      <c r="E18" s="2272"/>
      <c r="F18" s="2272"/>
      <c r="G18" s="2253" t="s">
        <v>713</v>
      </c>
      <c r="H18" s="2254"/>
      <c r="I18" s="2255">
        <f>'財務諸表（入力）'!E79</f>
        <v>0</v>
      </c>
      <c r="J18" s="2256"/>
      <c r="K18" s="2256"/>
      <c r="L18" s="2256"/>
      <c r="M18" s="2256"/>
      <c r="N18" s="2256">
        <f>'財務諸表（入力）'!G79</f>
        <v>0</v>
      </c>
      <c r="O18" s="2256"/>
      <c r="P18" s="2256"/>
      <c r="Q18" s="2256"/>
      <c r="R18" s="2256"/>
      <c r="S18" s="2256">
        <f>'財務諸表（入力）'!J79</f>
        <v>0</v>
      </c>
      <c r="T18" s="2256"/>
      <c r="U18" s="2256"/>
      <c r="V18" s="2256"/>
      <c r="W18" s="2257"/>
      <c r="X18" s="2255"/>
      <c r="Y18" s="2256"/>
      <c r="Z18" s="2256"/>
      <c r="AA18" s="2256"/>
      <c r="AB18" s="2258"/>
      <c r="AC18" s="2259"/>
      <c r="AD18" s="2256"/>
      <c r="AE18" s="2256"/>
      <c r="AF18" s="2256"/>
      <c r="AG18" s="2258"/>
    </row>
    <row r="19" spans="1:33" ht="15.75" customHeight="1" x14ac:dyDescent="0.2">
      <c r="A19" s="2261"/>
      <c r="B19" s="2271" t="s">
        <v>724</v>
      </c>
      <c r="C19" s="2272"/>
      <c r="D19" s="2272"/>
      <c r="E19" s="2272"/>
      <c r="F19" s="2272"/>
      <c r="G19" s="2253" t="s">
        <v>713</v>
      </c>
      <c r="H19" s="2254"/>
      <c r="I19" s="2255">
        <f>'財務諸表（入力）'!E80</f>
        <v>0</v>
      </c>
      <c r="J19" s="2256"/>
      <c r="K19" s="2256"/>
      <c r="L19" s="2256"/>
      <c r="M19" s="2256"/>
      <c r="N19" s="2256">
        <f>'財務諸表（入力）'!G80</f>
        <v>0</v>
      </c>
      <c r="O19" s="2256"/>
      <c r="P19" s="2256"/>
      <c r="Q19" s="2256"/>
      <c r="R19" s="2256"/>
      <c r="S19" s="2256">
        <f>'財務諸表（入力）'!J80</f>
        <v>0</v>
      </c>
      <c r="T19" s="2256"/>
      <c r="U19" s="2256"/>
      <c r="V19" s="2256"/>
      <c r="W19" s="2257"/>
      <c r="X19" s="2255"/>
      <c r="Y19" s="2256"/>
      <c r="Z19" s="2256"/>
      <c r="AA19" s="2256"/>
      <c r="AB19" s="2258"/>
      <c r="AC19" s="2259"/>
      <c r="AD19" s="2256"/>
      <c r="AE19" s="2256"/>
      <c r="AF19" s="2256"/>
      <c r="AG19" s="2258"/>
    </row>
    <row r="20" spans="1:33" ht="15.75" customHeight="1" x14ac:dyDescent="0.2">
      <c r="A20" s="2261"/>
      <c r="B20" s="2278" t="s">
        <v>725</v>
      </c>
      <c r="C20" s="2279"/>
      <c r="D20" s="2279"/>
      <c r="E20" s="2279"/>
      <c r="F20" s="2279"/>
      <c r="G20" s="2280" t="s">
        <v>713</v>
      </c>
      <c r="H20" s="2281"/>
      <c r="I20" s="2282">
        <f>'財務諸表（入力）'!E184</f>
        <v>0</v>
      </c>
      <c r="J20" s="2283"/>
      <c r="K20" s="2283"/>
      <c r="L20" s="2283"/>
      <c r="M20" s="2283"/>
      <c r="N20" s="2283">
        <f>'財務諸表（入力）'!G184</f>
        <v>0</v>
      </c>
      <c r="O20" s="2283"/>
      <c r="P20" s="2283"/>
      <c r="Q20" s="2283"/>
      <c r="R20" s="2283"/>
      <c r="S20" s="2283">
        <f>'財務諸表（入力）'!J184</f>
        <v>0</v>
      </c>
      <c r="T20" s="2283"/>
      <c r="U20" s="2283"/>
      <c r="V20" s="2283"/>
      <c r="W20" s="2284"/>
      <c r="X20" s="2282"/>
      <c r="Y20" s="2283"/>
      <c r="Z20" s="2283"/>
      <c r="AA20" s="2283"/>
      <c r="AB20" s="2285"/>
      <c r="AC20" s="2286"/>
      <c r="AD20" s="2283"/>
      <c r="AE20" s="2283"/>
      <c r="AF20" s="2283"/>
      <c r="AG20" s="2285"/>
    </row>
    <row r="21" spans="1:33" ht="15.75" customHeight="1" x14ac:dyDescent="0.2">
      <c r="A21" s="2261" t="s">
        <v>726</v>
      </c>
      <c r="B21" s="2262" t="s">
        <v>727</v>
      </c>
      <c r="C21" s="2263"/>
      <c r="D21" s="2263"/>
      <c r="E21" s="2263"/>
      <c r="F21" s="2263"/>
      <c r="G21" s="2264" t="s">
        <v>728</v>
      </c>
      <c r="H21" s="2265"/>
      <c r="I21" s="2288" t="e">
        <f>IF(OR(I11="",I12=""),"",I12/I11*100)</f>
        <v>#DIV/0!</v>
      </c>
      <c r="J21" s="2288"/>
      <c r="K21" s="2288"/>
      <c r="L21" s="2288"/>
      <c r="M21" s="2288"/>
      <c r="N21" s="2288" t="e">
        <f>IF(OR(N11="",N12=""),"",N12/N11*100)</f>
        <v>#DIV/0!</v>
      </c>
      <c r="O21" s="2288"/>
      <c r="P21" s="2288"/>
      <c r="Q21" s="2288"/>
      <c r="R21" s="2288"/>
      <c r="S21" s="2288" t="e">
        <f>IF(OR(S11="",S12=""),"",S12/S11*100)</f>
        <v>#DIV/0!</v>
      </c>
      <c r="T21" s="2288"/>
      <c r="U21" s="2288"/>
      <c r="V21" s="2288"/>
      <c r="W21" s="2296"/>
      <c r="X21" s="2287" t="str">
        <f>IF(OR(X11="",X12=""),"",X12/X11*100)</f>
        <v/>
      </c>
      <c r="Y21" s="2288"/>
      <c r="Z21" s="2288"/>
      <c r="AA21" s="2288"/>
      <c r="AB21" s="2289"/>
      <c r="AC21" s="2290" t="str">
        <f>IF(OR(AC11="",AC12=""),"",AC12/AC11*100)</f>
        <v/>
      </c>
      <c r="AD21" s="2288"/>
      <c r="AE21" s="2288"/>
      <c r="AF21" s="2288"/>
      <c r="AG21" s="2289"/>
    </row>
    <row r="22" spans="1:33" ht="15.75" customHeight="1" x14ac:dyDescent="0.2">
      <c r="A22" s="2261"/>
      <c r="B22" s="2271" t="s">
        <v>729</v>
      </c>
      <c r="C22" s="2272"/>
      <c r="D22" s="2272"/>
      <c r="E22" s="2272"/>
      <c r="F22" s="2272"/>
      <c r="G22" s="2253" t="s">
        <v>728</v>
      </c>
      <c r="H22" s="2254"/>
      <c r="I22" s="2291" t="e">
        <f>IF(OR(I11="",I13="",),"",I13/I11*100)</f>
        <v>#DIV/0!</v>
      </c>
      <c r="J22" s="2292"/>
      <c r="K22" s="2292"/>
      <c r="L22" s="2292"/>
      <c r="M22" s="2292"/>
      <c r="N22" s="2292" t="e">
        <f>IF(OR(N11="",N13="",),"",N13/N11*100)</f>
        <v>#DIV/0!</v>
      </c>
      <c r="O22" s="2292"/>
      <c r="P22" s="2292"/>
      <c r="Q22" s="2292"/>
      <c r="R22" s="2292"/>
      <c r="S22" s="2292" t="e">
        <f>IF(OR(S11="",S13="",),"",S13/S11*100)</f>
        <v>#DIV/0!</v>
      </c>
      <c r="T22" s="2292"/>
      <c r="U22" s="2292"/>
      <c r="V22" s="2292"/>
      <c r="W22" s="2293"/>
      <c r="X22" s="2291" t="str">
        <f>IF(OR(X11="",X13="",),"",X13/X11*100)</f>
        <v/>
      </c>
      <c r="Y22" s="2292"/>
      <c r="Z22" s="2292"/>
      <c r="AA22" s="2292"/>
      <c r="AB22" s="2294"/>
      <c r="AC22" s="2295" t="str">
        <f>IF(OR(AC11="",AC13="",),"",AC13/AC11*100)</f>
        <v/>
      </c>
      <c r="AD22" s="2292"/>
      <c r="AE22" s="2292"/>
      <c r="AF22" s="2292"/>
      <c r="AG22" s="2294"/>
    </row>
    <row r="23" spans="1:33" ht="15.75" customHeight="1" x14ac:dyDescent="0.2">
      <c r="A23" s="2261"/>
      <c r="B23" s="2271" t="s">
        <v>730</v>
      </c>
      <c r="C23" s="2272"/>
      <c r="D23" s="2272"/>
      <c r="E23" s="2272"/>
      <c r="F23" s="2272"/>
      <c r="G23" s="2253" t="s">
        <v>728</v>
      </c>
      <c r="H23" s="2254"/>
      <c r="I23" s="2291" t="e">
        <f>IF(OR(I11="",I14=""),"",I14/I11*100)</f>
        <v>#DIV/0!</v>
      </c>
      <c r="J23" s="2292"/>
      <c r="K23" s="2292"/>
      <c r="L23" s="2292"/>
      <c r="M23" s="2292"/>
      <c r="N23" s="2292" t="e">
        <f>IF(OR(N11="",N14=""),"",N14/N11*100)</f>
        <v>#DIV/0!</v>
      </c>
      <c r="O23" s="2292"/>
      <c r="P23" s="2292"/>
      <c r="Q23" s="2292"/>
      <c r="R23" s="2292"/>
      <c r="S23" s="2292" t="e">
        <f>IF(OR(S11="",S14=""),"",S14/S11*100)</f>
        <v>#DIV/0!</v>
      </c>
      <c r="T23" s="2292"/>
      <c r="U23" s="2292"/>
      <c r="V23" s="2292"/>
      <c r="W23" s="2293"/>
      <c r="X23" s="2291" t="str">
        <f>IF(OR(X11="",X14=""),"",X14/X11*100)</f>
        <v/>
      </c>
      <c r="Y23" s="2292"/>
      <c r="Z23" s="2292"/>
      <c r="AA23" s="2292"/>
      <c r="AB23" s="2294"/>
      <c r="AC23" s="2295" t="str">
        <f>IF(OR(AC11="",AC14=""),"",AC14/AC11*100)</f>
        <v/>
      </c>
      <c r="AD23" s="2292"/>
      <c r="AE23" s="2292"/>
      <c r="AF23" s="2292"/>
      <c r="AG23" s="2294"/>
    </row>
    <row r="24" spans="1:33" ht="15.75" customHeight="1" x14ac:dyDescent="0.2">
      <c r="A24" s="2261"/>
      <c r="B24" s="2271" t="s">
        <v>731</v>
      </c>
      <c r="C24" s="2272"/>
      <c r="D24" s="2272"/>
      <c r="E24" s="2272"/>
      <c r="F24" s="2272"/>
      <c r="G24" s="2253" t="s">
        <v>728</v>
      </c>
      <c r="H24" s="2254"/>
      <c r="I24" s="2291" t="e">
        <f>IF(OR(I18="",I19=""),"",I18/I19*100)</f>
        <v>#DIV/0!</v>
      </c>
      <c r="J24" s="2292"/>
      <c r="K24" s="2292"/>
      <c r="L24" s="2292"/>
      <c r="M24" s="2292"/>
      <c r="N24" s="2292" t="e">
        <f>IF(OR(N18="",N19=""),"",N18/N19*100)</f>
        <v>#DIV/0!</v>
      </c>
      <c r="O24" s="2292"/>
      <c r="P24" s="2292"/>
      <c r="Q24" s="2292"/>
      <c r="R24" s="2292"/>
      <c r="S24" s="2292" t="e">
        <f>IF(OR(S18="",S19=""),"",S18/S19*100)</f>
        <v>#DIV/0!</v>
      </c>
      <c r="T24" s="2292"/>
      <c r="U24" s="2292"/>
      <c r="V24" s="2292"/>
      <c r="W24" s="2293"/>
      <c r="X24" s="2291" t="str">
        <f>IF(OR(X18="",X19=""),"",X18/X19*100)</f>
        <v/>
      </c>
      <c r="Y24" s="2292"/>
      <c r="Z24" s="2292"/>
      <c r="AA24" s="2292"/>
      <c r="AB24" s="2294"/>
      <c r="AC24" s="2295" t="str">
        <f>IF(OR(AC18="",AC19=""),"",AC18/AC19*100)</f>
        <v/>
      </c>
      <c r="AD24" s="2292"/>
      <c r="AE24" s="2292"/>
      <c r="AF24" s="2292"/>
      <c r="AG24" s="2294"/>
    </row>
    <row r="25" spans="1:33" ht="15.75" customHeight="1" x14ac:dyDescent="0.2">
      <c r="A25" s="2261"/>
      <c r="B25" s="2271" t="s">
        <v>732</v>
      </c>
      <c r="C25" s="2272"/>
      <c r="D25" s="2272"/>
      <c r="E25" s="2272"/>
      <c r="F25" s="2272"/>
      <c r="G25" s="2253" t="s">
        <v>709</v>
      </c>
      <c r="H25" s="2254"/>
      <c r="I25" s="2291" t="e">
        <f>IF(OR(I15="",I16="",I20=""),"",I20/(I15+I16))</f>
        <v>#DIV/0!</v>
      </c>
      <c r="J25" s="2292"/>
      <c r="K25" s="2292"/>
      <c r="L25" s="2292"/>
      <c r="M25" s="2292"/>
      <c r="N25" s="2292" t="e">
        <f>IF(OR(N15="",N16="",N20=""),"",N20/(N15+N16))</f>
        <v>#DIV/0!</v>
      </c>
      <c r="O25" s="2292"/>
      <c r="P25" s="2292"/>
      <c r="Q25" s="2292"/>
      <c r="R25" s="2292"/>
      <c r="S25" s="2292" t="e">
        <f>IF(OR(S15="",S16="",S20=""),"",S20/(S15+S16))</f>
        <v>#DIV/0!</v>
      </c>
      <c r="T25" s="2292"/>
      <c r="U25" s="2292"/>
      <c r="V25" s="2292"/>
      <c r="W25" s="2293"/>
      <c r="X25" s="2291" t="str">
        <f>IF(OR(X15="",X16="",X20=""),"",X20/(X15+X16))</f>
        <v/>
      </c>
      <c r="Y25" s="2292"/>
      <c r="Z25" s="2292"/>
      <c r="AA25" s="2292"/>
      <c r="AB25" s="2294"/>
      <c r="AC25" s="2295" t="str">
        <f>IF(OR(AC15="",AC16="",AC20=""),"",AC20/(AC15+AC16))</f>
        <v/>
      </c>
      <c r="AD25" s="2292"/>
      <c r="AE25" s="2292"/>
      <c r="AF25" s="2292"/>
      <c r="AG25" s="2294"/>
    </row>
    <row r="26" spans="1:33" ht="15.75" customHeight="1" x14ac:dyDescent="0.2">
      <c r="A26" s="2261"/>
      <c r="B26" s="2271" t="s">
        <v>733</v>
      </c>
      <c r="C26" s="2272"/>
      <c r="D26" s="2272"/>
      <c r="E26" s="2272"/>
      <c r="F26" s="2272"/>
      <c r="G26" s="2253" t="s">
        <v>734</v>
      </c>
      <c r="H26" s="2254"/>
      <c r="I26" s="2291" t="e">
        <f>IF(OR(I11="",I19=""),"",I11/I19)</f>
        <v>#DIV/0!</v>
      </c>
      <c r="J26" s="2292"/>
      <c r="K26" s="2292"/>
      <c r="L26" s="2292"/>
      <c r="M26" s="2292"/>
      <c r="N26" s="2292" t="e">
        <f>IF(OR(N11="",N19=""),"",N11/N19)</f>
        <v>#DIV/0!</v>
      </c>
      <c r="O26" s="2292"/>
      <c r="P26" s="2292"/>
      <c r="Q26" s="2292"/>
      <c r="R26" s="2292"/>
      <c r="S26" s="2292" t="e">
        <f>IF(OR(S11="",S19=""),"",S11/S19)</f>
        <v>#DIV/0!</v>
      </c>
      <c r="T26" s="2292"/>
      <c r="U26" s="2292"/>
      <c r="V26" s="2292"/>
      <c r="W26" s="2293"/>
      <c r="X26" s="2291" t="str">
        <f>IF(OR(X11="",X19=""),"",X11/X19)</f>
        <v/>
      </c>
      <c r="Y26" s="2292"/>
      <c r="Z26" s="2292"/>
      <c r="AA26" s="2292"/>
      <c r="AB26" s="2294"/>
      <c r="AC26" s="2295" t="str">
        <f>IF(OR(AC11="",AC19=""),"",AC11/AC19)</f>
        <v/>
      </c>
      <c r="AD26" s="2292"/>
      <c r="AE26" s="2292"/>
      <c r="AF26" s="2292"/>
      <c r="AG26" s="2294"/>
    </row>
    <row r="27" spans="1:33" ht="15.75" customHeight="1" x14ac:dyDescent="0.2">
      <c r="A27" s="2261"/>
      <c r="B27" s="2278" t="s">
        <v>735</v>
      </c>
      <c r="C27" s="2279"/>
      <c r="D27" s="2279"/>
      <c r="E27" s="2279"/>
      <c r="F27" s="2279"/>
      <c r="G27" s="2280" t="s">
        <v>728</v>
      </c>
      <c r="H27" s="2281"/>
      <c r="I27" s="2308" t="e">
        <f>IF(OR(I14="",I19=""),"",I14/I19*100)</f>
        <v>#DIV/0!</v>
      </c>
      <c r="J27" s="2300"/>
      <c r="K27" s="2300"/>
      <c r="L27" s="2300"/>
      <c r="M27" s="2300"/>
      <c r="N27" s="2300" t="e">
        <f>IF(OR(N14="",N19=""),"",N14/N19*100)</f>
        <v>#DIV/0!</v>
      </c>
      <c r="O27" s="2300"/>
      <c r="P27" s="2300"/>
      <c r="Q27" s="2300"/>
      <c r="R27" s="2300"/>
      <c r="S27" s="2300" t="e">
        <f>IF(OR(S14="",S19=""),"",S14/S19*100)</f>
        <v>#DIV/0!</v>
      </c>
      <c r="T27" s="2300"/>
      <c r="U27" s="2300"/>
      <c r="V27" s="2300"/>
      <c r="W27" s="2309"/>
      <c r="X27" s="2308" t="str">
        <f>IF(OR(X14="",X19=""),"",X14/X19*100)</f>
        <v/>
      </c>
      <c r="Y27" s="2300"/>
      <c r="Z27" s="2300"/>
      <c r="AA27" s="2300"/>
      <c r="AB27" s="2301"/>
      <c r="AC27" s="2299" t="str">
        <f>IF(OR(AC14="",AC19=""),"",AC14/AC19*100)</f>
        <v/>
      </c>
      <c r="AD27" s="2300"/>
      <c r="AE27" s="2300"/>
      <c r="AF27" s="2300"/>
      <c r="AG27" s="2301"/>
    </row>
    <row r="28" spans="1:33" ht="15.75" customHeight="1" x14ac:dyDescent="0.2">
      <c r="A28" s="2261" t="s">
        <v>736</v>
      </c>
      <c r="B28" s="2302"/>
      <c r="C28" s="2303"/>
      <c r="D28" s="2303"/>
      <c r="E28" s="2303"/>
      <c r="F28" s="2303"/>
      <c r="G28" s="2304"/>
      <c r="H28" s="2305"/>
      <c r="I28" s="2266"/>
      <c r="J28" s="2267"/>
      <c r="K28" s="2267"/>
      <c r="L28" s="2267"/>
      <c r="M28" s="2267"/>
      <c r="N28" s="2267"/>
      <c r="O28" s="2267"/>
      <c r="P28" s="2267"/>
      <c r="Q28" s="2267"/>
      <c r="R28" s="2267"/>
      <c r="S28" s="2267"/>
      <c r="T28" s="2267"/>
      <c r="U28" s="2267"/>
      <c r="V28" s="2267"/>
      <c r="W28" s="2268"/>
      <c r="X28" s="2266"/>
      <c r="Y28" s="2267"/>
      <c r="Z28" s="2267"/>
      <c r="AA28" s="2267"/>
      <c r="AB28" s="2269"/>
      <c r="AC28" s="2270"/>
      <c r="AD28" s="2267"/>
      <c r="AE28" s="2267"/>
      <c r="AF28" s="2267"/>
      <c r="AG28" s="2269"/>
    </row>
    <row r="29" spans="1:33" ht="15.75" customHeight="1" x14ac:dyDescent="0.2">
      <c r="A29" s="2261"/>
      <c r="B29" s="2306"/>
      <c r="C29" s="2307"/>
      <c r="D29" s="2307"/>
      <c r="E29" s="2307"/>
      <c r="F29" s="2307"/>
      <c r="G29" s="2297"/>
      <c r="H29" s="2298"/>
      <c r="I29" s="2255"/>
      <c r="J29" s="2256"/>
      <c r="K29" s="2256"/>
      <c r="L29" s="2256"/>
      <c r="M29" s="2256"/>
      <c r="N29" s="2256"/>
      <c r="O29" s="2256"/>
      <c r="P29" s="2256"/>
      <c r="Q29" s="2256"/>
      <c r="R29" s="2256"/>
      <c r="S29" s="2256"/>
      <c r="T29" s="2256"/>
      <c r="U29" s="2256"/>
      <c r="V29" s="2256"/>
      <c r="W29" s="2257"/>
      <c r="X29" s="2255"/>
      <c r="Y29" s="2256"/>
      <c r="Z29" s="2256"/>
      <c r="AA29" s="2256"/>
      <c r="AB29" s="2258"/>
      <c r="AC29" s="2259"/>
      <c r="AD29" s="2256"/>
      <c r="AE29" s="2256"/>
      <c r="AF29" s="2256"/>
      <c r="AG29" s="2258"/>
    </row>
    <row r="30" spans="1:33" ht="15.75" customHeight="1" x14ac:dyDescent="0.2">
      <c r="A30" s="2261"/>
      <c r="B30" s="2306"/>
      <c r="C30" s="2307"/>
      <c r="D30" s="2307"/>
      <c r="E30" s="2307"/>
      <c r="F30" s="2307"/>
      <c r="G30" s="2297"/>
      <c r="H30" s="2298"/>
      <c r="I30" s="2255"/>
      <c r="J30" s="2256"/>
      <c r="K30" s="2256"/>
      <c r="L30" s="2256"/>
      <c r="M30" s="2256"/>
      <c r="N30" s="2256"/>
      <c r="O30" s="2256"/>
      <c r="P30" s="2256"/>
      <c r="Q30" s="2256"/>
      <c r="R30" s="2256"/>
      <c r="S30" s="2256"/>
      <c r="T30" s="2256"/>
      <c r="U30" s="2256"/>
      <c r="V30" s="2256"/>
      <c r="W30" s="2257"/>
      <c r="X30" s="2255"/>
      <c r="Y30" s="2256"/>
      <c r="Z30" s="2256"/>
      <c r="AA30" s="2256"/>
      <c r="AB30" s="2258"/>
      <c r="AC30" s="2259"/>
      <c r="AD30" s="2256"/>
      <c r="AE30" s="2256"/>
      <c r="AF30" s="2256"/>
      <c r="AG30" s="2258"/>
    </row>
    <row r="31" spans="1:33" ht="15.75" customHeight="1" x14ac:dyDescent="0.2">
      <c r="A31" s="2261"/>
      <c r="B31" s="2306"/>
      <c r="C31" s="2307"/>
      <c r="D31" s="2307"/>
      <c r="E31" s="2307"/>
      <c r="F31" s="2307"/>
      <c r="G31" s="2297"/>
      <c r="H31" s="2298"/>
      <c r="I31" s="2255"/>
      <c r="J31" s="2256"/>
      <c r="K31" s="2256"/>
      <c r="L31" s="2256"/>
      <c r="M31" s="2256"/>
      <c r="N31" s="2256"/>
      <c r="O31" s="2256"/>
      <c r="P31" s="2256"/>
      <c r="Q31" s="2256"/>
      <c r="R31" s="2256"/>
      <c r="S31" s="2256"/>
      <c r="T31" s="2256"/>
      <c r="U31" s="2256"/>
      <c r="V31" s="2256"/>
      <c r="W31" s="2257"/>
      <c r="X31" s="2255"/>
      <c r="Y31" s="2256"/>
      <c r="Z31" s="2256"/>
      <c r="AA31" s="2256"/>
      <c r="AB31" s="2258"/>
      <c r="AC31" s="2259"/>
      <c r="AD31" s="2256"/>
      <c r="AE31" s="2256"/>
      <c r="AF31" s="2256"/>
      <c r="AG31" s="2258"/>
    </row>
    <row r="32" spans="1:33" ht="15.75" customHeight="1" x14ac:dyDescent="0.2">
      <c r="A32" s="2261"/>
      <c r="B32" s="2306"/>
      <c r="C32" s="2307"/>
      <c r="D32" s="2307"/>
      <c r="E32" s="2307"/>
      <c r="F32" s="2307"/>
      <c r="G32" s="2297"/>
      <c r="H32" s="2298"/>
      <c r="I32" s="2255"/>
      <c r="J32" s="2256"/>
      <c r="K32" s="2256"/>
      <c r="L32" s="2256"/>
      <c r="M32" s="2256"/>
      <c r="N32" s="2256"/>
      <c r="O32" s="2256"/>
      <c r="P32" s="2256"/>
      <c r="Q32" s="2256"/>
      <c r="R32" s="2256"/>
      <c r="S32" s="2256"/>
      <c r="T32" s="2256"/>
      <c r="U32" s="2256"/>
      <c r="V32" s="2256"/>
      <c r="W32" s="2257"/>
      <c r="X32" s="2255"/>
      <c r="Y32" s="2256"/>
      <c r="Z32" s="2256"/>
      <c r="AA32" s="2256"/>
      <c r="AB32" s="2258"/>
      <c r="AC32" s="2259"/>
      <c r="AD32" s="2256"/>
      <c r="AE32" s="2256"/>
      <c r="AF32" s="2256"/>
      <c r="AG32" s="2258"/>
    </row>
    <row r="33" spans="1:33" ht="15.75" customHeight="1" x14ac:dyDescent="0.2">
      <c r="A33" s="2261"/>
      <c r="B33" s="2306"/>
      <c r="C33" s="2307"/>
      <c r="D33" s="2307"/>
      <c r="E33" s="2307"/>
      <c r="F33" s="2307"/>
      <c r="G33" s="2297"/>
      <c r="H33" s="2298"/>
      <c r="I33" s="2255"/>
      <c r="J33" s="2256"/>
      <c r="K33" s="2256"/>
      <c r="L33" s="2256"/>
      <c r="M33" s="2256"/>
      <c r="N33" s="2256"/>
      <c r="O33" s="2256"/>
      <c r="P33" s="2256"/>
      <c r="Q33" s="2256"/>
      <c r="R33" s="2256"/>
      <c r="S33" s="2256"/>
      <c r="T33" s="2256"/>
      <c r="U33" s="2256"/>
      <c r="V33" s="2256"/>
      <c r="W33" s="2257"/>
      <c r="X33" s="2255"/>
      <c r="Y33" s="2256"/>
      <c r="Z33" s="2256"/>
      <c r="AA33" s="2256"/>
      <c r="AB33" s="2258"/>
      <c r="AC33" s="2259"/>
      <c r="AD33" s="2256"/>
      <c r="AE33" s="2256"/>
      <c r="AF33" s="2256"/>
      <c r="AG33" s="2258"/>
    </row>
    <row r="34" spans="1:33" ht="15.75" customHeight="1" x14ac:dyDescent="0.2">
      <c r="A34" s="2261"/>
      <c r="B34" s="2306"/>
      <c r="C34" s="2307"/>
      <c r="D34" s="2307"/>
      <c r="E34" s="2307"/>
      <c r="F34" s="2307"/>
      <c r="G34" s="2297"/>
      <c r="H34" s="2298"/>
      <c r="I34" s="2255"/>
      <c r="J34" s="2256"/>
      <c r="K34" s="2256"/>
      <c r="L34" s="2256"/>
      <c r="M34" s="2256"/>
      <c r="N34" s="2256"/>
      <c r="O34" s="2256"/>
      <c r="P34" s="2256"/>
      <c r="Q34" s="2256"/>
      <c r="R34" s="2256"/>
      <c r="S34" s="2256"/>
      <c r="T34" s="2256"/>
      <c r="U34" s="2256"/>
      <c r="V34" s="2256"/>
      <c r="W34" s="2257"/>
      <c r="X34" s="2255"/>
      <c r="Y34" s="2256"/>
      <c r="Z34" s="2256"/>
      <c r="AA34" s="2256"/>
      <c r="AB34" s="2258"/>
      <c r="AC34" s="2259"/>
      <c r="AD34" s="2256"/>
      <c r="AE34" s="2256"/>
      <c r="AF34" s="2256"/>
      <c r="AG34" s="2258"/>
    </row>
    <row r="35" spans="1:33" ht="15.75" customHeight="1" x14ac:dyDescent="0.2">
      <c r="A35" s="2261"/>
      <c r="B35" s="2322"/>
      <c r="C35" s="2323"/>
      <c r="D35" s="2323"/>
      <c r="E35" s="2323"/>
      <c r="F35" s="2323"/>
      <c r="G35" s="2324"/>
      <c r="H35" s="2325"/>
      <c r="I35" s="2282"/>
      <c r="J35" s="2283"/>
      <c r="K35" s="2283"/>
      <c r="L35" s="2283"/>
      <c r="M35" s="2283"/>
      <c r="N35" s="2283"/>
      <c r="O35" s="2283"/>
      <c r="P35" s="2283"/>
      <c r="Q35" s="2283"/>
      <c r="R35" s="2283"/>
      <c r="S35" s="2283"/>
      <c r="T35" s="2283"/>
      <c r="U35" s="2283"/>
      <c r="V35" s="2283"/>
      <c r="W35" s="2284"/>
      <c r="X35" s="2282"/>
      <c r="Y35" s="2283"/>
      <c r="Z35" s="2283"/>
      <c r="AA35" s="2283"/>
      <c r="AB35" s="2285"/>
      <c r="AC35" s="2286"/>
      <c r="AD35" s="2283"/>
      <c r="AE35" s="2283"/>
      <c r="AF35" s="2283"/>
      <c r="AG35" s="2285"/>
    </row>
    <row r="36" spans="1:33" ht="15.75" customHeight="1" x14ac:dyDescent="0.2">
      <c r="A36" s="2310" t="s">
        <v>737</v>
      </c>
      <c r="B36" s="2311"/>
      <c r="C36" s="2311"/>
      <c r="D36" s="2311"/>
      <c r="E36" s="2311"/>
      <c r="F36" s="2311"/>
      <c r="G36" s="2311"/>
      <c r="H36" s="2311"/>
      <c r="I36" s="2311"/>
      <c r="J36" s="2311"/>
      <c r="K36" s="2311"/>
      <c r="L36" s="2311"/>
      <c r="M36" s="2311"/>
      <c r="N36" s="2311"/>
      <c r="O36" s="2311"/>
      <c r="P36" s="2311"/>
      <c r="Q36" s="2311"/>
      <c r="R36" s="2311"/>
      <c r="S36" s="2311"/>
      <c r="T36" s="2311"/>
      <c r="U36" s="2311"/>
      <c r="V36" s="2311"/>
      <c r="W36" s="2311"/>
      <c r="X36" s="2311"/>
      <c r="Y36" s="2311"/>
      <c r="Z36" s="2311"/>
      <c r="AA36" s="2311"/>
      <c r="AB36" s="2311"/>
      <c r="AC36" s="2311"/>
      <c r="AD36" s="2311"/>
      <c r="AE36" s="2311"/>
      <c r="AF36" s="2311"/>
      <c r="AG36" s="2312"/>
    </row>
    <row r="37" spans="1:33" ht="15.75" customHeight="1" x14ac:dyDescent="0.2">
      <c r="A37" s="2313" t="s">
        <v>614</v>
      </c>
      <c r="B37" s="2314"/>
      <c r="C37" s="2314"/>
      <c r="D37" s="2314"/>
      <c r="E37" s="2314"/>
      <c r="F37" s="2314"/>
      <c r="G37" s="2314"/>
      <c r="H37" s="2314"/>
      <c r="I37" s="2314"/>
      <c r="J37" s="2314"/>
      <c r="K37" s="2314"/>
      <c r="L37" s="2314"/>
      <c r="M37" s="2314"/>
      <c r="N37" s="2314"/>
      <c r="O37" s="2314"/>
      <c r="P37" s="2314"/>
      <c r="Q37" s="2314"/>
      <c r="R37" s="2314"/>
      <c r="S37" s="2314"/>
      <c r="T37" s="2314"/>
      <c r="U37" s="2314"/>
      <c r="V37" s="2314"/>
      <c r="W37" s="2314"/>
      <c r="X37" s="2314"/>
      <c r="Y37" s="2314"/>
      <c r="Z37" s="2314"/>
      <c r="AA37" s="2314"/>
      <c r="AB37" s="2314"/>
      <c r="AC37" s="2314"/>
      <c r="AD37" s="2314"/>
      <c r="AE37" s="2314"/>
      <c r="AF37" s="2314"/>
      <c r="AG37" s="2315"/>
    </row>
    <row r="38" spans="1:33" ht="15.75" customHeight="1" x14ac:dyDescent="0.2">
      <c r="A38" s="2316"/>
      <c r="B38" s="2317"/>
      <c r="C38" s="2317"/>
      <c r="D38" s="2317"/>
      <c r="E38" s="2317"/>
      <c r="F38" s="2317"/>
      <c r="G38" s="2317"/>
      <c r="H38" s="2317"/>
      <c r="I38" s="2317"/>
      <c r="J38" s="2317"/>
      <c r="K38" s="2317"/>
      <c r="L38" s="2317"/>
      <c r="M38" s="2317"/>
      <c r="N38" s="2317"/>
      <c r="O38" s="2317"/>
      <c r="P38" s="2317"/>
      <c r="Q38" s="2317"/>
      <c r="R38" s="2317"/>
      <c r="S38" s="2317"/>
      <c r="T38" s="2317"/>
      <c r="U38" s="2317"/>
      <c r="V38" s="2317"/>
      <c r="W38" s="2317"/>
      <c r="X38" s="2317"/>
      <c r="Y38" s="2317"/>
      <c r="Z38" s="2317"/>
      <c r="AA38" s="2317"/>
      <c r="AB38" s="2317"/>
      <c r="AC38" s="2317"/>
      <c r="AD38" s="2317"/>
      <c r="AE38" s="2317"/>
      <c r="AF38" s="2317"/>
      <c r="AG38" s="2318"/>
    </row>
    <row r="39" spans="1:33" ht="15.75" customHeight="1" x14ac:dyDescent="0.2">
      <c r="A39" s="2316"/>
      <c r="B39" s="2317"/>
      <c r="C39" s="2317"/>
      <c r="D39" s="2317"/>
      <c r="E39" s="2317"/>
      <c r="F39" s="2317"/>
      <c r="G39" s="2317"/>
      <c r="H39" s="2317"/>
      <c r="I39" s="2317"/>
      <c r="J39" s="2317"/>
      <c r="K39" s="2317"/>
      <c r="L39" s="2317"/>
      <c r="M39" s="2317"/>
      <c r="N39" s="2317"/>
      <c r="O39" s="2317"/>
      <c r="P39" s="2317"/>
      <c r="Q39" s="2317"/>
      <c r="R39" s="2317"/>
      <c r="S39" s="2317"/>
      <c r="T39" s="2317"/>
      <c r="U39" s="2317"/>
      <c r="V39" s="2317"/>
      <c r="W39" s="2317"/>
      <c r="X39" s="2317"/>
      <c r="Y39" s="2317"/>
      <c r="Z39" s="2317"/>
      <c r="AA39" s="2317"/>
      <c r="AB39" s="2317"/>
      <c r="AC39" s="2317"/>
      <c r="AD39" s="2317"/>
      <c r="AE39" s="2317"/>
      <c r="AF39" s="2317"/>
      <c r="AG39" s="2318"/>
    </row>
    <row r="40" spans="1:33" ht="15.75" customHeight="1" x14ac:dyDescent="0.2">
      <c r="A40" s="2316"/>
      <c r="B40" s="2317"/>
      <c r="C40" s="2317"/>
      <c r="D40" s="2317"/>
      <c r="E40" s="2317"/>
      <c r="F40" s="2317"/>
      <c r="G40" s="2317"/>
      <c r="H40" s="2317"/>
      <c r="I40" s="2317"/>
      <c r="J40" s="2317"/>
      <c r="K40" s="2317"/>
      <c r="L40" s="2317"/>
      <c r="M40" s="2317"/>
      <c r="N40" s="2317"/>
      <c r="O40" s="2317"/>
      <c r="P40" s="2317"/>
      <c r="Q40" s="2317"/>
      <c r="R40" s="2317"/>
      <c r="S40" s="2317"/>
      <c r="T40" s="2317"/>
      <c r="U40" s="2317"/>
      <c r="V40" s="2317"/>
      <c r="W40" s="2317"/>
      <c r="X40" s="2317"/>
      <c r="Y40" s="2317"/>
      <c r="Z40" s="2317"/>
      <c r="AA40" s="2317"/>
      <c r="AB40" s="2317"/>
      <c r="AC40" s="2317"/>
      <c r="AD40" s="2317"/>
      <c r="AE40" s="2317"/>
      <c r="AF40" s="2317"/>
      <c r="AG40" s="2318"/>
    </row>
    <row r="41" spans="1:33" ht="15.75" customHeight="1" x14ac:dyDescent="0.2">
      <c r="A41" s="2316"/>
      <c r="B41" s="2317"/>
      <c r="C41" s="2317"/>
      <c r="D41" s="2317"/>
      <c r="E41" s="2317"/>
      <c r="F41" s="2317"/>
      <c r="G41" s="2317"/>
      <c r="H41" s="2317"/>
      <c r="I41" s="2317"/>
      <c r="J41" s="2317"/>
      <c r="K41" s="2317"/>
      <c r="L41" s="2317"/>
      <c r="M41" s="2317"/>
      <c r="N41" s="2317"/>
      <c r="O41" s="2317"/>
      <c r="P41" s="2317"/>
      <c r="Q41" s="2317"/>
      <c r="R41" s="2317"/>
      <c r="S41" s="2317"/>
      <c r="T41" s="2317"/>
      <c r="U41" s="2317"/>
      <c r="V41" s="2317"/>
      <c r="W41" s="2317"/>
      <c r="X41" s="2317"/>
      <c r="Y41" s="2317"/>
      <c r="Z41" s="2317"/>
      <c r="AA41" s="2317"/>
      <c r="AB41" s="2317"/>
      <c r="AC41" s="2317"/>
      <c r="AD41" s="2317"/>
      <c r="AE41" s="2317"/>
      <c r="AF41" s="2317"/>
      <c r="AG41" s="2318"/>
    </row>
    <row r="42" spans="1:33" ht="15.75" customHeight="1" x14ac:dyDescent="0.2">
      <c r="A42" s="2316"/>
      <c r="B42" s="2317"/>
      <c r="C42" s="2317"/>
      <c r="D42" s="2317"/>
      <c r="E42" s="2317"/>
      <c r="F42" s="2317"/>
      <c r="G42" s="2317"/>
      <c r="H42" s="2317"/>
      <c r="I42" s="2317"/>
      <c r="J42" s="2317"/>
      <c r="K42" s="2317"/>
      <c r="L42" s="2317"/>
      <c r="M42" s="2317"/>
      <c r="N42" s="2317"/>
      <c r="O42" s="2317"/>
      <c r="P42" s="2317"/>
      <c r="Q42" s="2317"/>
      <c r="R42" s="2317"/>
      <c r="S42" s="2317"/>
      <c r="T42" s="2317"/>
      <c r="U42" s="2317"/>
      <c r="V42" s="2317"/>
      <c r="W42" s="2317"/>
      <c r="X42" s="2317"/>
      <c r="Y42" s="2317"/>
      <c r="Z42" s="2317"/>
      <c r="AA42" s="2317"/>
      <c r="AB42" s="2317"/>
      <c r="AC42" s="2317"/>
      <c r="AD42" s="2317"/>
      <c r="AE42" s="2317"/>
      <c r="AF42" s="2317"/>
      <c r="AG42" s="2318"/>
    </row>
    <row r="43" spans="1:33" ht="15.75" customHeight="1" x14ac:dyDescent="0.2">
      <c r="A43" s="2316"/>
      <c r="B43" s="2317"/>
      <c r="C43" s="2317"/>
      <c r="D43" s="2317"/>
      <c r="E43" s="2317"/>
      <c r="F43" s="2317"/>
      <c r="G43" s="2317"/>
      <c r="H43" s="2317"/>
      <c r="I43" s="2317"/>
      <c r="J43" s="2317"/>
      <c r="K43" s="2317"/>
      <c r="L43" s="2317"/>
      <c r="M43" s="2317"/>
      <c r="N43" s="2317"/>
      <c r="O43" s="2317"/>
      <c r="P43" s="2317"/>
      <c r="Q43" s="2317"/>
      <c r="R43" s="2317"/>
      <c r="S43" s="2317"/>
      <c r="T43" s="2317"/>
      <c r="U43" s="2317"/>
      <c r="V43" s="2317"/>
      <c r="W43" s="2317"/>
      <c r="X43" s="2317"/>
      <c r="Y43" s="2317"/>
      <c r="Z43" s="2317"/>
      <c r="AA43" s="2317"/>
      <c r="AB43" s="2317"/>
      <c r="AC43" s="2317"/>
      <c r="AD43" s="2317"/>
      <c r="AE43" s="2317"/>
      <c r="AF43" s="2317"/>
      <c r="AG43" s="2318"/>
    </row>
    <row r="44" spans="1:33" ht="15.75" customHeight="1" x14ac:dyDescent="0.2">
      <c r="A44" s="2316"/>
      <c r="B44" s="2317"/>
      <c r="C44" s="2317"/>
      <c r="D44" s="2317"/>
      <c r="E44" s="2317"/>
      <c r="F44" s="2317"/>
      <c r="G44" s="2317"/>
      <c r="H44" s="2317"/>
      <c r="I44" s="2317"/>
      <c r="J44" s="2317"/>
      <c r="K44" s="2317"/>
      <c r="L44" s="2317"/>
      <c r="M44" s="2317"/>
      <c r="N44" s="2317"/>
      <c r="O44" s="2317"/>
      <c r="P44" s="2317"/>
      <c r="Q44" s="2317"/>
      <c r="R44" s="2317"/>
      <c r="S44" s="2317"/>
      <c r="T44" s="2317"/>
      <c r="U44" s="2317"/>
      <c r="V44" s="2317"/>
      <c r="W44" s="2317"/>
      <c r="X44" s="2317"/>
      <c r="Y44" s="2317"/>
      <c r="Z44" s="2317"/>
      <c r="AA44" s="2317"/>
      <c r="AB44" s="2317"/>
      <c r="AC44" s="2317"/>
      <c r="AD44" s="2317"/>
      <c r="AE44" s="2317"/>
      <c r="AF44" s="2317"/>
      <c r="AG44" s="2318"/>
    </row>
    <row r="45" spans="1:33" ht="15.75" customHeight="1" x14ac:dyDescent="0.2">
      <c r="A45" s="2316"/>
      <c r="B45" s="2317"/>
      <c r="C45" s="2317"/>
      <c r="D45" s="2317"/>
      <c r="E45" s="2317"/>
      <c r="F45" s="2317"/>
      <c r="G45" s="2317"/>
      <c r="H45" s="2317"/>
      <c r="I45" s="2317"/>
      <c r="J45" s="2317"/>
      <c r="K45" s="2317"/>
      <c r="L45" s="2317"/>
      <c r="M45" s="2317"/>
      <c r="N45" s="2317"/>
      <c r="O45" s="2317"/>
      <c r="P45" s="2317"/>
      <c r="Q45" s="2317"/>
      <c r="R45" s="2317"/>
      <c r="S45" s="2317"/>
      <c r="T45" s="2317"/>
      <c r="U45" s="2317"/>
      <c r="V45" s="2317"/>
      <c r="W45" s="2317"/>
      <c r="X45" s="2317"/>
      <c r="Y45" s="2317"/>
      <c r="Z45" s="2317"/>
      <c r="AA45" s="2317"/>
      <c r="AB45" s="2317"/>
      <c r="AC45" s="2317"/>
      <c r="AD45" s="2317"/>
      <c r="AE45" s="2317"/>
      <c r="AF45" s="2317"/>
      <c r="AG45" s="2318"/>
    </row>
    <row r="46" spans="1:33" ht="15.75" customHeight="1" x14ac:dyDescent="0.2">
      <c r="A46" s="2316"/>
      <c r="B46" s="2317"/>
      <c r="C46" s="2317"/>
      <c r="D46" s="2317"/>
      <c r="E46" s="2317"/>
      <c r="F46" s="2317"/>
      <c r="G46" s="2317"/>
      <c r="H46" s="2317"/>
      <c r="I46" s="2317"/>
      <c r="J46" s="2317"/>
      <c r="K46" s="2317"/>
      <c r="L46" s="2317"/>
      <c r="M46" s="2317"/>
      <c r="N46" s="2317"/>
      <c r="O46" s="2317"/>
      <c r="P46" s="2317"/>
      <c r="Q46" s="2317"/>
      <c r="R46" s="2317"/>
      <c r="S46" s="2317"/>
      <c r="T46" s="2317"/>
      <c r="U46" s="2317"/>
      <c r="V46" s="2317"/>
      <c r="W46" s="2317"/>
      <c r="X46" s="2317"/>
      <c r="Y46" s="2317"/>
      <c r="Z46" s="2317"/>
      <c r="AA46" s="2317"/>
      <c r="AB46" s="2317"/>
      <c r="AC46" s="2317"/>
      <c r="AD46" s="2317"/>
      <c r="AE46" s="2317"/>
      <c r="AF46" s="2317"/>
      <c r="AG46" s="2318"/>
    </row>
    <row r="47" spans="1:33" ht="15.75" customHeight="1" x14ac:dyDescent="0.2">
      <c r="A47" s="2316"/>
      <c r="B47" s="2317"/>
      <c r="C47" s="2317"/>
      <c r="D47" s="2317"/>
      <c r="E47" s="2317"/>
      <c r="F47" s="2317"/>
      <c r="G47" s="2317"/>
      <c r="H47" s="2317"/>
      <c r="I47" s="2317"/>
      <c r="J47" s="2317"/>
      <c r="K47" s="2317"/>
      <c r="L47" s="2317"/>
      <c r="M47" s="2317"/>
      <c r="N47" s="2317"/>
      <c r="O47" s="2317"/>
      <c r="P47" s="2317"/>
      <c r="Q47" s="2317"/>
      <c r="R47" s="2317"/>
      <c r="S47" s="2317"/>
      <c r="T47" s="2317"/>
      <c r="U47" s="2317"/>
      <c r="V47" s="2317"/>
      <c r="W47" s="2317"/>
      <c r="X47" s="2317"/>
      <c r="Y47" s="2317"/>
      <c r="Z47" s="2317"/>
      <c r="AA47" s="2317"/>
      <c r="AB47" s="2317"/>
      <c r="AC47" s="2317"/>
      <c r="AD47" s="2317"/>
      <c r="AE47" s="2317"/>
      <c r="AF47" s="2317"/>
      <c r="AG47" s="2318"/>
    </row>
    <row r="48" spans="1:33" ht="15.75" customHeight="1" x14ac:dyDescent="0.2">
      <c r="A48" s="2316"/>
      <c r="B48" s="2317"/>
      <c r="C48" s="2317"/>
      <c r="D48" s="2317"/>
      <c r="E48" s="2317"/>
      <c r="F48" s="2317"/>
      <c r="G48" s="2317"/>
      <c r="H48" s="2317"/>
      <c r="I48" s="2317"/>
      <c r="J48" s="2317"/>
      <c r="K48" s="2317"/>
      <c r="L48" s="2317"/>
      <c r="M48" s="2317"/>
      <c r="N48" s="2317"/>
      <c r="O48" s="2317"/>
      <c r="P48" s="2317"/>
      <c r="Q48" s="2317"/>
      <c r="R48" s="2317"/>
      <c r="S48" s="2317"/>
      <c r="T48" s="2317"/>
      <c r="U48" s="2317"/>
      <c r="V48" s="2317"/>
      <c r="W48" s="2317"/>
      <c r="X48" s="2317"/>
      <c r="Y48" s="2317"/>
      <c r="Z48" s="2317"/>
      <c r="AA48" s="2317"/>
      <c r="AB48" s="2317"/>
      <c r="AC48" s="2317"/>
      <c r="AD48" s="2317"/>
      <c r="AE48" s="2317"/>
      <c r="AF48" s="2317"/>
      <c r="AG48" s="2318"/>
    </row>
    <row r="49" spans="1:33" ht="15.75" customHeight="1" x14ac:dyDescent="0.2">
      <c r="A49" s="2316"/>
      <c r="B49" s="2317"/>
      <c r="C49" s="2317"/>
      <c r="D49" s="2317"/>
      <c r="E49" s="2317"/>
      <c r="F49" s="2317"/>
      <c r="G49" s="2317"/>
      <c r="H49" s="2317"/>
      <c r="I49" s="2317"/>
      <c r="J49" s="2317"/>
      <c r="K49" s="2317"/>
      <c r="L49" s="2317"/>
      <c r="M49" s="2317"/>
      <c r="N49" s="2317"/>
      <c r="O49" s="2317"/>
      <c r="P49" s="2317"/>
      <c r="Q49" s="2317"/>
      <c r="R49" s="2317"/>
      <c r="S49" s="2317"/>
      <c r="T49" s="2317"/>
      <c r="U49" s="2317"/>
      <c r="V49" s="2317"/>
      <c r="W49" s="2317"/>
      <c r="X49" s="2317"/>
      <c r="Y49" s="2317"/>
      <c r="Z49" s="2317"/>
      <c r="AA49" s="2317"/>
      <c r="AB49" s="2317"/>
      <c r="AC49" s="2317"/>
      <c r="AD49" s="2317"/>
      <c r="AE49" s="2317"/>
      <c r="AF49" s="2317"/>
      <c r="AG49" s="2318"/>
    </row>
    <row r="50" spans="1:33" ht="15.75" customHeight="1" x14ac:dyDescent="0.2">
      <c r="A50" s="2316"/>
      <c r="B50" s="2317"/>
      <c r="C50" s="2317"/>
      <c r="D50" s="2317"/>
      <c r="E50" s="2317"/>
      <c r="F50" s="2317"/>
      <c r="G50" s="2317"/>
      <c r="H50" s="2317"/>
      <c r="I50" s="2317"/>
      <c r="J50" s="2317"/>
      <c r="K50" s="2317"/>
      <c r="L50" s="2317"/>
      <c r="M50" s="2317"/>
      <c r="N50" s="2317"/>
      <c r="O50" s="2317"/>
      <c r="P50" s="2317"/>
      <c r="Q50" s="2317"/>
      <c r="R50" s="2317"/>
      <c r="S50" s="2317"/>
      <c r="T50" s="2317"/>
      <c r="U50" s="2317"/>
      <c r="V50" s="2317"/>
      <c r="W50" s="2317"/>
      <c r="X50" s="2317"/>
      <c r="Y50" s="2317"/>
      <c r="Z50" s="2317"/>
      <c r="AA50" s="2317"/>
      <c r="AB50" s="2317"/>
      <c r="AC50" s="2317"/>
      <c r="AD50" s="2317"/>
      <c r="AE50" s="2317"/>
      <c r="AF50" s="2317"/>
      <c r="AG50" s="2318"/>
    </row>
    <row r="51" spans="1:33" ht="15.75" customHeight="1" x14ac:dyDescent="0.2">
      <c r="A51" s="2316"/>
      <c r="B51" s="2317"/>
      <c r="C51" s="2317"/>
      <c r="D51" s="2317"/>
      <c r="E51" s="2317"/>
      <c r="F51" s="2317"/>
      <c r="G51" s="2317"/>
      <c r="H51" s="2317"/>
      <c r="I51" s="2317"/>
      <c r="J51" s="2317"/>
      <c r="K51" s="2317"/>
      <c r="L51" s="2317"/>
      <c r="M51" s="2317"/>
      <c r="N51" s="2317"/>
      <c r="O51" s="2317"/>
      <c r="P51" s="2317"/>
      <c r="Q51" s="2317"/>
      <c r="R51" s="2317"/>
      <c r="S51" s="2317"/>
      <c r="T51" s="2317"/>
      <c r="U51" s="2317"/>
      <c r="V51" s="2317"/>
      <c r="W51" s="2317"/>
      <c r="X51" s="2317"/>
      <c r="Y51" s="2317"/>
      <c r="Z51" s="2317"/>
      <c r="AA51" s="2317"/>
      <c r="AB51" s="2317"/>
      <c r="AC51" s="2317"/>
      <c r="AD51" s="2317"/>
      <c r="AE51" s="2317"/>
      <c r="AF51" s="2317"/>
      <c r="AG51" s="2318"/>
    </row>
    <row r="52" spans="1:33" ht="15.75" customHeight="1" x14ac:dyDescent="0.2">
      <c r="A52" s="2319"/>
      <c r="B52" s="2320"/>
      <c r="C52" s="2320"/>
      <c r="D52" s="2320"/>
      <c r="E52" s="2320"/>
      <c r="F52" s="2320"/>
      <c r="G52" s="2320"/>
      <c r="H52" s="2320"/>
      <c r="I52" s="2320"/>
      <c r="J52" s="2320"/>
      <c r="K52" s="2320"/>
      <c r="L52" s="2320"/>
      <c r="M52" s="2320"/>
      <c r="N52" s="2320"/>
      <c r="O52" s="2320"/>
      <c r="P52" s="2320"/>
      <c r="Q52" s="2320"/>
      <c r="R52" s="2320"/>
      <c r="S52" s="2320"/>
      <c r="T52" s="2320"/>
      <c r="U52" s="2320"/>
      <c r="V52" s="2320"/>
      <c r="W52" s="2320"/>
      <c r="X52" s="2320"/>
      <c r="Y52" s="2320"/>
      <c r="Z52" s="2320"/>
      <c r="AA52" s="2320"/>
      <c r="AB52" s="2320"/>
      <c r="AC52" s="2320"/>
      <c r="AD52" s="2320"/>
      <c r="AE52" s="2320"/>
      <c r="AF52" s="2320"/>
      <c r="AG52" s="2321"/>
    </row>
  </sheetData>
  <mergeCells count="223">
    <mergeCell ref="A36:AG36"/>
    <mergeCell ref="A37:AG52"/>
    <mergeCell ref="AC34:AG34"/>
    <mergeCell ref="B35:F35"/>
    <mergeCell ref="G35:H35"/>
    <mergeCell ref="I35:M35"/>
    <mergeCell ref="N35:R35"/>
    <mergeCell ref="S35:W35"/>
    <mergeCell ref="X35:AB35"/>
    <mergeCell ref="AC35:AG35"/>
    <mergeCell ref="B34:F34"/>
    <mergeCell ref="G34:H34"/>
    <mergeCell ref="I34:M34"/>
    <mergeCell ref="N34:R34"/>
    <mergeCell ref="S34:W34"/>
    <mergeCell ref="X34:AB34"/>
    <mergeCell ref="AC32:AG32"/>
    <mergeCell ref="B33:F33"/>
    <mergeCell ref="G33:H33"/>
    <mergeCell ref="I33:M33"/>
    <mergeCell ref="N33:R33"/>
    <mergeCell ref="S33:W33"/>
    <mergeCell ref="X33:AB33"/>
    <mergeCell ref="AC33:AG33"/>
    <mergeCell ref="B32:F32"/>
    <mergeCell ref="G32:H32"/>
    <mergeCell ref="I32:M32"/>
    <mergeCell ref="N32:R32"/>
    <mergeCell ref="S32:W32"/>
    <mergeCell ref="X32:AB32"/>
    <mergeCell ref="B31:F31"/>
    <mergeCell ref="G31:H31"/>
    <mergeCell ref="I31:M31"/>
    <mergeCell ref="N31:R31"/>
    <mergeCell ref="S31:W31"/>
    <mergeCell ref="X31:AB31"/>
    <mergeCell ref="AC31:AG31"/>
    <mergeCell ref="B30:F30"/>
    <mergeCell ref="G30:H30"/>
    <mergeCell ref="I30:M30"/>
    <mergeCell ref="N30:R30"/>
    <mergeCell ref="S30:W30"/>
    <mergeCell ref="X30:AB30"/>
    <mergeCell ref="G29:H29"/>
    <mergeCell ref="I29:M29"/>
    <mergeCell ref="N29:R29"/>
    <mergeCell ref="S29:W29"/>
    <mergeCell ref="X29:AB29"/>
    <mergeCell ref="AC29:AG29"/>
    <mergeCell ref="AC27:AG27"/>
    <mergeCell ref="A28:A35"/>
    <mergeCell ref="B28:F28"/>
    <mergeCell ref="G28:H28"/>
    <mergeCell ref="I28:M28"/>
    <mergeCell ref="N28:R28"/>
    <mergeCell ref="S28:W28"/>
    <mergeCell ref="X28:AB28"/>
    <mergeCell ref="AC28:AG28"/>
    <mergeCell ref="B29:F29"/>
    <mergeCell ref="B27:F27"/>
    <mergeCell ref="G27:H27"/>
    <mergeCell ref="I27:M27"/>
    <mergeCell ref="N27:R27"/>
    <mergeCell ref="S27:W27"/>
    <mergeCell ref="X27:AB27"/>
    <mergeCell ref="A21:A27"/>
    <mergeCell ref="AC30:AG30"/>
    <mergeCell ref="AC25:AG25"/>
    <mergeCell ref="B26:F26"/>
    <mergeCell ref="G26:H26"/>
    <mergeCell ref="I26:M26"/>
    <mergeCell ref="N26:R26"/>
    <mergeCell ref="S26:W26"/>
    <mergeCell ref="X26:AB26"/>
    <mergeCell ref="AC26:AG26"/>
    <mergeCell ref="B25:F25"/>
    <mergeCell ref="G25:H25"/>
    <mergeCell ref="I25:M25"/>
    <mergeCell ref="N25:R25"/>
    <mergeCell ref="S25:W25"/>
    <mergeCell ref="X25:AB25"/>
    <mergeCell ref="S23:W23"/>
    <mergeCell ref="X23:AB23"/>
    <mergeCell ref="AC23:AG23"/>
    <mergeCell ref="B24:F24"/>
    <mergeCell ref="G24:H24"/>
    <mergeCell ref="I24:M24"/>
    <mergeCell ref="N24:R24"/>
    <mergeCell ref="S24:W24"/>
    <mergeCell ref="X24:AB24"/>
    <mergeCell ref="AC24:AG24"/>
    <mergeCell ref="B23:F23"/>
    <mergeCell ref="G23:H23"/>
    <mergeCell ref="I23:M23"/>
    <mergeCell ref="N23:R23"/>
    <mergeCell ref="X21:AB21"/>
    <mergeCell ref="AC21:AG21"/>
    <mergeCell ref="B22:F22"/>
    <mergeCell ref="G22:H22"/>
    <mergeCell ref="I22:M22"/>
    <mergeCell ref="N22:R22"/>
    <mergeCell ref="S22:W22"/>
    <mergeCell ref="X22:AB22"/>
    <mergeCell ref="AC22:AG22"/>
    <mergeCell ref="B21:F21"/>
    <mergeCell ref="G21:H21"/>
    <mergeCell ref="I21:M21"/>
    <mergeCell ref="N21:R21"/>
    <mergeCell ref="S21:W21"/>
    <mergeCell ref="AC19:AG19"/>
    <mergeCell ref="B20:F20"/>
    <mergeCell ref="G20:H20"/>
    <mergeCell ref="I20:M20"/>
    <mergeCell ref="N20:R20"/>
    <mergeCell ref="S20:W20"/>
    <mergeCell ref="X20:AB20"/>
    <mergeCell ref="AC20:AG20"/>
    <mergeCell ref="B19:F19"/>
    <mergeCell ref="G19:H19"/>
    <mergeCell ref="I19:M19"/>
    <mergeCell ref="N19:R19"/>
    <mergeCell ref="S19:W19"/>
    <mergeCell ref="X19:AB19"/>
    <mergeCell ref="AC17:AG17"/>
    <mergeCell ref="B18:F18"/>
    <mergeCell ref="G18:H18"/>
    <mergeCell ref="I18:M18"/>
    <mergeCell ref="N18:R18"/>
    <mergeCell ref="S18:W18"/>
    <mergeCell ref="X18:AB18"/>
    <mergeCell ref="AC18:AG18"/>
    <mergeCell ref="B17:F17"/>
    <mergeCell ref="G17:H17"/>
    <mergeCell ref="I17:M17"/>
    <mergeCell ref="N17:R17"/>
    <mergeCell ref="S17:W17"/>
    <mergeCell ref="X17:AB17"/>
    <mergeCell ref="B16:F16"/>
    <mergeCell ref="G16:H16"/>
    <mergeCell ref="I16:M16"/>
    <mergeCell ref="N16:R16"/>
    <mergeCell ref="S16:W16"/>
    <mergeCell ref="X16:AB16"/>
    <mergeCell ref="AC16:AG16"/>
    <mergeCell ref="B15:F15"/>
    <mergeCell ref="G15:H15"/>
    <mergeCell ref="I15:M15"/>
    <mergeCell ref="N15:R15"/>
    <mergeCell ref="S15:W15"/>
    <mergeCell ref="X15:AB15"/>
    <mergeCell ref="B8:F8"/>
    <mergeCell ref="G8:H8"/>
    <mergeCell ref="I8:J8"/>
    <mergeCell ref="N8:O8"/>
    <mergeCell ref="S8:T8"/>
    <mergeCell ref="X8:Y8"/>
    <mergeCell ref="AC11:AG11"/>
    <mergeCell ref="B12:F12"/>
    <mergeCell ref="G12:H12"/>
    <mergeCell ref="I12:M12"/>
    <mergeCell ref="N12:R12"/>
    <mergeCell ref="S12:W12"/>
    <mergeCell ref="X12:AB12"/>
    <mergeCell ref="AC12:AG12"/>
    <mergeCell ref="B11:F11"/>
    <mergeCell ref="G11:H11"/>
    <mergeCell ref="I11:M11"/>
    <mergeCell ref="N11:R11"/>
    <mergeCell ref="S11:W11"/>
    <mergeCell ref="X11:AB11"/>
    <mergeCell ref="A9:A20"/>
    <mergeCell ref="B9:F9"/>
    <mergeCell ref="G9:H9"/>
    <mergeCell ref="I9:M9"/>
    <mergeCell ref="N9:R9"/>
    <mergeCell ref="S9:W9"/>
    <mergeCell ref="X9:AB9"/>
    <mergeCell ref="AC9:AG9"/>
    <mergeCell ref="B10:F10"/>
    <mergeCell ref="AC13:AG13"/>
    <mergeCell ref="B14:F14"/>
    <mergeCell ref="G14:H14"/>
    <mergeCell ref="I14:M14"/>
    <mergeCell ref="N14:R14"/>
    <mergeCell ref="S14:W14"/>
    <mergeCell ref="X14:AB14"/>
    <mergeCell ref="AC14:AG14"/>
    <mergeCell ref="B13:F13"/>
    <mergeCell ref="G13:H13"/>
    <mergeCell ref="I13:M13"/>
    <mergeCell ref="N13:R13"/>
    <mergeCell ref="S13:W13"/>
    <mergeCell ref="X13:AB13"/>
    <mergeCell ref="AC15:AG15"/>
    <mergeCell ref="J7:K7"/>
    <mergeCell ref="L7:M7"/>
    <mergeCell ref="O7:P7"/>
    <mergeCell ref="Q7:R7"/>
    <mergeCell ref="T7:U7"/>
    <mergeCell ref="V7:W7"/>
    <mergeCell ref="X7:AB7"/>
    <mergeCell ref="AC7:AG7"/>
    <mergeCell ref="G10:H10"/>
    <mergeCell ref="I10:M10"/>
    <mergeCell ref="N10:R10"/>
    <mergeCell ref="S10:W10"/>
    <mergeCell ref="X10:AB10"/>
    <mergeCell ref="AC10:AG10"/>
    <mergeCell ref="AC8:AD8"/>
    <mergeCell ref="A5:C5"/>
    <mergeCell ref="D5:H5"/>
    <mergeCell ref="I5:K5"/>
    <mergeCell ref="L5:P5"/>
    <mergeCell ref="Q5:S5"/>
    <mergeCell ref="T5:X5"/>
    <mergeCell ref="L1:U2"/>
    <mergeCell ref="AH1:AM1"/>
    <mergeCell ref="A4:C4"/>
    <mergeCell ref="D4:P4"/>
    <mergeCell ref="Q4:S4"/>
    <mergeCell ref="T4:Z4"/>
    <mergeCell ref="Y5:AA5"/>
    <mergeCell ref="AB5:AF5"/>
  </mergeCells>
  <phoneticPr fontId="2"/>
  <conditionalFormatting sqref="D4:D5 T4:T5 L5 O7:P7 T7:U7 L8 N8:O8 Q8 S8:T8 V8 AC8:AD8 AF8 I9:W20 AC9:AG20">
    <cfRule type="expression" dxfId="3" priority="4">
      <formula>AND($AN$1="✔",D4="")</formula>
    </cfRule>
  </conditionalFormatting>
  <conditionalFormatting sqref="I8:J8">
    <cfRule type="expression" dxfId="2" priority="3">
      <formula>AND($AN$1="✔",I8="")</formula>
    </cfRule>
  </conditionalFormatting>
  <conditionalFormatting sqref="J7:K7">
    <cfRule type="expression" dxfId="1" priority="2">
      <formula>AND($AN$1="✔",J7="")</formula>
    </cfRule>
  </conditionalFormatting>
  <conditionalFormatting sqref="AB5">
    <cfRule type="expression" dxfId="0" priority="1">
      <formula>AND($AN$1="✔",AB5="")</formula>
    </cfRule>
  </conditionalFormatting>
  <dataValidations count="4">
    <dataValidation imeMode="off" allowBlank="1" showInputMessage="1" showErrorMessage="1" sqref="T4:Z4 AF8 L8 J7:K7 I8:J8 O7:P7 N8:O8 Q8 S8:T8 T7:U7 V8 X8:Y8 AA8 AC8:AD8 I9:AG35" xr:uid="{00000000-0002-0000-0B00-000000000000}"/>
    <dataValidation imeMode="on" allowBlank="1" showInputMessage="1" showErrorMessage="1" sqref="D4:P4 L5:P5 T5:X5 AB5:AF5 B28:F35 A37:AG52" xr:uid="{00000000-0002-0000-0B00-000001000000}"/>
    <dataValidation type="list" allowBlank="1" showInputMessage="1" showErrorMessage="1" sqref="D6:G6" xr:uid="{00000000-0002-0000-0B00-000002000000}">
      <formula1>"北海道本部,東北本部,関東本部,中部本部,北陸本部,近畿本部,中国本部,四国本部,九州本部,沖縄事務所,本部"</formula1>
    </dataValidation>
    <dataValidation type="list" allowBlank="1" showInputMessage="1" showErrorMessage="1" promptTitle="条件付き書式設定" prompt="このセルの”✔”を削除すると様式の条件付き書式がクリアされます" sqref="AN1" xr:uid="{00000000-0002-0000-0B00-000003000000}">
      <formula1>"✔,"</formula1>
    </dataValidation>
  </dataValidations>
  <printOptions horizontalCentered="1"/>
  <pageMargins left="0.39370078740157483" right="0.39370078740157483" top="0.59055118110236227" bottom="0.39370078740157483" header="0.19685039370078741" footer="0.19685039370078741"/>
  <pageSetup paperSize="9" orientation="portrait" r:id="rId1"/>
  <headerFooter differentFirst="1">
    <oddHeader xml:space="preserve">&amp;R&amp;"BIZ UDP明朝 Medium,標準"&amp;8
</oddHeader>
    <firstHeader>&amp;L&amp;7
C2&amp;R&amp;7
様式07</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8</vt:i4>
      </vt:variant>
    </vt:vector>
  </HeadingPairs>
  <TitlesOfParts>
    <vt:vector size="20" baseType="lpstr">
      <vt:lpstr>財務諸表（入力）</vt:lpstr>
      <vt:lpstr>経営分析シート</vt:lpstr>
      <vt:lpstr>資金運用表</vt:lpstr>
      <vt:lpstr>資金移動表</vt:lpstr>
      <vt:lpstr>変動PL＆BEP</vt:lpstr>
      <vt:lpstr>【総合所見】</vt:lpstr>
      <vt:lpstr>部門別売上sim</vt:lpstr>
      <vt:lpstr>CF計算書</vt:lpstr>
      <vt:lpstr>CF計算書②</vt:lpstr>
      <vt:lpstr>CFワークシート</vt:lpstr>
      <vt:lpstr>CFワークシート②</vt:lpstr>
      <vt:lpstr>経営指標調査表</vt:lpstr>
      <vt:lpstr>【総合所見】!Print_Area</vt:lpstr>
      <vt:lpstr>経営指標調査表!Print_Area</vt:lpstr>
      <vt:lpstr>経営分析シート!Print_Area</vt:lpstr>
      <vt:lpstr>'財務諸表（入力）'!Print_Area</vt:lpstr>
      <vt:lpstr>資金移動表!Print_Area</vt:lpstr>
      <vt:lpstr>資金運用表!Print_Area</vt:lpstr>
      <vt:lpstr>部門別売上sim!Print_Area</vt:lpstr>
      <vt:lpstr>'変動PL＆BEP'!Print_Area</vt:lpstr>
    </vt:vector>
  </TitlesOfParts>
  <Company>中小企業総合事業団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石亀一郎</dc:creator>
  <cp:lastModifiedBy>水野</cp:lastModifiedBy>
  <cp:lastPrinted>2011-12-12T03:59:54Z</cp:lastPrinted>
  <dcterms:created xsi:type="dcterms:W3CDTF">2000-01-21T14:54:43Z</dcterms:created>
  <dcterms:modified xsi:type="dcterms:W3CDTF">2026-02-18T05:12:59Z</dcterms:modified>
</cp:coreProperties>
</file>